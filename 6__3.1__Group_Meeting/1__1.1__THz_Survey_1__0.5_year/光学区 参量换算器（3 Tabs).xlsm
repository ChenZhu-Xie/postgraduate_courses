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2D\Desktop\Code\Document\postgraduate_courses\4__3.1__Group_Meeting_Speech\1__1.1__THz_Survey_1__0.5_year\"/>
    </mc:Choice>
  </mc:AlternateContent>
  <xr:revisionPtr revIDLastSave="0" documentId="13_ncr:1_{6F8E2A13-95AD-4134-BEFD-5017D506441C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光学区 参量换算器" sheetId="1" r:id="rId1"/>
    <sheet name="Sheet1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4" i="2" l="1"/>
  <c r="S13" i="2"/>
  <c r="T13" i="2"/>
  <c r="U13" i="2"/>
  <c r="U14" i="2"/>
  <c r="T14" i="2"/>
  <c r="Q15" i="2"/>
  <c r="Q16" i="2" s="1"/>
  <c r="Q13" i="2"/>
  <c r="Q14" i="2" s="1"/>
  <c r="Q12" i="2"/>
  <c r="Q11" i="2"/>
  <c r="E9" i="2"/>
  <c r="E8" i="2"/>
  <c r="Q9" i="2" s="1"/>
  <c r="K11" i="2"/>
  <c r="K10" i="2"/>
  <c r="E7" i="2"/>
  <c r="E6" i="2"/>
  <c r="K8" i="2"/>
  <c r="Q10" i="2" l="1"/>
  <c r="E5" i="2"/>
  <c r="K3" i="2"/>
  <c r="Q2" i="2" s="1"/>
  <c r="K6" i="2"/>
  <c r="K5" i="2"/>
  <c r="E4" i="2"/>
  <c r="E3" i="2"/>
  <c r="E2" i="2"/>
  <c r="Q4" i="2" l="1"/>
  <c r="Q5" i="2" s="1"/>
  <c r="Q6" i="2" s="1"/>
  <c r="Q7" i="2" s="1"/>
  <c r="Q8" i="2" s="1"/>
  <c r="Q3" i="2"/>
  <c r="G40" i="1"/>
  <c r="L34" i="1" l="1"/>
  <c r="G34" i="1" s="1"/>
  <c r="L32" i="1"/>
  <c r="G32" i="1" s="1"/>
  <c r="K33" i="1"/>
  <c r="M33" i="1"/>
  <c r="E33" i="1"/>
  <c r="G33" i="1"/>
  <c r="M27" i="1"/>
  <c r="L27" i="1"/>
  <c r="K27" i="1"/>
  <c r="C23" i="1"/>
  <c r="K34" i="1" l="1"/>
  <c r="E34" i="1"/>
  <c r="F34" i="1"/>
  <c r="B34" i="1" s="1"/>
  <c r="F32" i="1"/>
  <c r="J32" i="1" s="1"/>
  <c r="E32" i="1"/>
  <c r="M32" i="1"/>
  <c r="J34" i="1"/>
  <c r="W48" i="1"/>
  <c r="Y48" i="1"/>
  <c r="AA49" i="1"/>
  <c r="Z49" i="1" s="1"/>
  <c r="AA47" i="1"/>
  <c r="AB47" i="1" s="1"/>
  <c r="AB48" i="1"/>
  <c r="Z48" i="1"/>
  <c r="X48" i="1"/>
  <c r="Q45" i="1"/>
  <c r="X46" i="1"/>
  <c r="Z46" i="1" s="1"/>
  <c r="X44" i="1"/>
  <c r="Y44" i="1" s="1"/>
  <c r="U41" i="1"/>
  <c r="Q41" i="1" s="1"/>
  <c r="S42" i="1"/>
  <c r="R42" i="1"/>
  <c r="P42" i="1" s="1"/>
  <c r="Q42" i="1"/>
  <c r="U43" i="1"/>
  <c r="T43" i="1" s="1"/>
  <c r="V42" i="1"/>
  <c r="T42" i="1"/>
  <c r="Y39" i="1"/>
  <c r="X39" i="1"/>
  <c r="AB39" i="1" s="1"/>
  <c r="W39" i="1"/>
  <c r="V39" i="1"/>
  <c r="U39" i="1"/>
  <c r="T39" i="1"/>
  <c r="R40" i="1"/>
  <c r="P40" i="1" s="1"/>
  <c r="R38" i="1"/>
  <c r="P38" i="1" s="1"/>
  <c r="N39" i="1"/>
  <c r="P39" i="1"/>
  <c r="S39" i="1"/>
  <c r="Q39" i="1"/>
  <c r="O39" i="1"/>
  <c r="D39" i="1" s="1"/>
  <c r="D36" i="1"/>
  <c r="C36" i="1"/>
  <c r="B36" i="1"/>
  <c r="O37" i="1"/>
  <c r="D37" i="1" s="1"/>
  <c r="O35" i="1"/>
  <c r="D35" i="1" s="1"/>
  <c r="P36" i="1"/>
  <c r="N36" i="1"/>
  <c r="I31" i="1"/>
  <c r="H31" i="1" s="1"/>
  <c r="G30" i="1"/>
  <c r="F30" i="1"/>
  <c r="E30" i="1"/>
  <c r="I29" i="1"/>
  <c r="E29" i="1" s="1"/>
  <c r="J30" i="1"/>
  <c r="H30" i="1"/>
  <c r="D32" i="1" l="1"/>
  <c r="I32" i="1"/>
  <c r="H32" i="1"/>
  <c r="H34" i="1"/>
  <c r="C34" i="1"/>
  <c r="O34" i="1" s="1"/>
  <c r="D34" i="1"/>
  <c r="I34" i="1"/>
  <c r="C32" i="1"/>
  <c r="O32" i="1" s="1"/>
  <c r="S32" i="1" s="1"/>
  <c r="B32" i="1"/>
  <c r="N32" i="1"/>
  <c r="E36" i="1"/>
  <c r="P32" i="1"/>
  <c r="D30" i="1"/>
  <c r="K30" i="1"/>
  <c r="M30" i="1"/>
  <c r="L30" i="1"/>
  <c r="S45" i="1"/>
  <c r="W40" i="1"/>
  <c r="X40" i="1"/>
  <c r="AB40" i="1" s="1"/>
  <c r="X47" i="1"/>
  <c r="S47" i="1" s="1"/>
  <c r="Q44" i="1"/>
  <c r="R44" i="1"/>
  <c r="V44" i="1" s="1"/>
  <c r="S44" i="1"/>
  <c r="Y40" i="1"/>
  <c r="S46" i="1"/>
  <c r="R46" i="1"/>
  <c r="O46" i="1" s="1"/>
  <c r="B46" i="1" s="1"/>
  <c r="T40" i="1"/>
  <c r="U40" i="1"/>
  <c r="V40" i="1"/>
  <c r="W47" i="1"/>
  <c r="Y47" i="1"/>
  <c r="X49" i="1"/>
  <c r="S49" i="1" s="1"/>
  <c r="Y49" i="1"/>
  <c r="W49" i="1"/>
  <c r="W46" i="1"/>
  <c r="Q46" i="1"/>
  <c r="Y45" i="1"/>
  <c r="W45" i="1"/>
  <c r="R45" i="1"/>
  <c r="T45" i="1" s="1"/>
  <c r="AB46" i="1"/>
  <c r="AA46" i="1"/>
  <c r="S43" i="1"/>
  <c r="Q43" i="1"/>
  <c r="R43" i="1"/>
  <c r="O43" i="1" s="1"/>
  <c r="Y42" i="1"/>
  <c r="W42" i="1"/>
  <c r="X42" i="1"/>
  <c r="Z42" i="1" s="1"/>
  <c r="V41" i="1"/>
  <c r="N42" i="1"/>
  <c r="O42" i="1"/>
  <c r="B42" i="1" s="1"/>
  <c r="R41" i="1"/>
  <c r="S41" i="1"/>
  <c r="Z39" i="1"/>
  <c r="AA39" i="1"/>
  <c r="W38" i="1"/>
  <c r="Y38" i="1"/>
  <c r="X38" i="1"/>
  <c r="AA38" i="1" s="1"/>
  <c r="T38" i="1"/>
  <c r="U38" i="1"/>
  <c r="V38" i="1"/>
  <c r="B39" i="1"/>
  <c r="C39" i="1"/>
  <c r="B30" i="1"/>
  <c r="C30" i="1"/>
  <c r="N30" i="1" s="1"/>
  <c r="Q40" i="1"/>
  <c r="N40" i="1"/>
  <c r="O40" i="1"/>
  <c r="N38" i="1"/>
  <c r="O38" i="1"/>
  <c r="S38" i="1"/>
  <c r="G31" i="1"/>
  <c r="E31" i="1"/>
  <c r="F31" i="1"/>
  <c r="B37" i="1"/>
  <c r="C37" i="1"/>
  <c r="N37" i="1"/>
  <c r="F36" i="1"/>
  <c r="J36" i="1" s="1"/>
  <c r="G36" i="1"/>
  <c r="C35" i="1"/>
  <c r="P35" i="1"/>
  <c r="B35" i="1"/>
  <c r="Q37" i="1"/>
  <c r="Q36" i="1"/>
  <c r="R37" i="1"/>
  <c r="Y37" i="1" s="1"/>
  <c r="R36" i="1"/>
  <c r="W36" i="1" s="1"/>
  <c r="S37" i="1"/>
  <c r="S36" i="1"/>
  <c r="J29" i="1"/>
  <c r="G29" i="1"/>
  <c r="F28" i="1"/>
  <c r="F26" i="1"/>
  <c r="J27" i="1"/>
  <c r="I27" i="1"/>
  <c r="H27" i="1"/>
  <c r="G27" i="1"/>
  <c r="E27" i="1"/>
  <c r="D27" i="1"/>
  <c r="C27" i="1"/>
  <c r="P27" i="1" s="1"/>
  <c r="B27" i="1"/>
  <c r="C25" i="1"/>
  <c r="D24" i="1"/>
  <c r="B24" i="1"/>
  <c r="R34" i="1" l="1"/>
  <c r="Y34" i="1" s="1"/>
  <c r="Q34" i="1"/>
  <c r="V34" i="1"/>
  <c r="T34" i="1"/>
  <c r="W34" i="1"/>
  <c r="S34" i="1"/>
  <c r="U34" i="1"/>
  <c r="N34" i="1"/>
  <c r="P34" i="1"/>
  <c r="Q32" i="1"/>
  <c r="R32" i="1"/>
  <c r="T32" i="1" s="1"/>
  <c r="L36" i="1"/>
  <c r="K36" i="1"/>
  <c r="M36" i="1"/>
  <c r="G37" i="1"/>
  <c r="X34" i="1"/>
  <c r="M28" i="1"/>
  <c r="L28" i="1"/>
  <c r="K28" i="1"/>
  <c r="D31" i="1"/>
  <c r="K31" i="1"/>
  <c r="L31" i="1"/>
  <c r="M31" i="1"/>
  <c r="J26" i="1"/>
  <c r="K26" i="1"/>
  <c r="L26" i="1"/>
  <c r="M26" i="1"/>
  <c r="B25" i="1"/>
  <c r="D28" i="1"/>
  <c r="Z40" i="1"/>
  <c r="AA40" i="1"/>
  <c r="R47" i="1"/>
  <c r="T47" i="1" s="1"/>
  <c r="Q47" i="1"/>
  <c r="U46" i="1"/>
  <c r="AB38" i="1"/>
  <c r="T46" i="1"/>
  <c r="N46" i="1"/>
  <c r="P46" i="1"/>
  <c r="T44" i="1"/>
  <c r="U44" i="1"/>
  <c r="C46" i="1"/>
  <c r="D46" i="1"/>
  <c r="V46" i="1"/>
  <c r="R49" i="1"/>
  <c r="T49" i="1" s="1"/>
  <c r="Q49" i="1"/>
  <c r="U45" i="1"/>
  <c r="V45" i="1"/>
  <c r="O44" i="1"/>
  <c r="D44" i="1" s="1"/>
  <c r="P44" i="1"/>
  <c r="N44" i="1"/>
  <c r="P43" i="1"/>
  <c r="W43" i="1"/>
  <c r="C43" i="1"/>
  <c r="B43" i="1"/>
  <c r="N43" i="1"/>
  <c r="Y43" i="1"/>
  <c r="D43" i="1"/>
  <c r="X43" i="1"/>
  <c r="AB43" i="1" s="1"/>
  <c r="AB42" i="1"/>
  <c r="D42" i="1"/>
  <c r="AA42" i="1"/>
  <c r="C42" i="1"/>
  <c r="Z38" i="1"/>
  <c r="C38" i="1"/>
  <c r="D38" i="1"/>
  <c r="B38" i="1"/>
  <c r="B40" i="1"/>
  <c r="D40" i="1"/>
  <c r="C40" i="1"/>
  <c r="G39" i="1"/>
  <c r="F39" i="1"/>
  <c r="J39" i="1" s="1"/>
  <c r="E39" i="1"/>
  <c r="P30" i="1"/>
  <c r="O30" i="1"/>
  <c r="R30" i="1" s="1"/>
  <c r="I36" i="1"/>
  <c r="H36" i="1"/>
  <c r="F37" i="1"/>
  <c r="J37" i="1" s="1"/>
  <c r="E37" i="1"/>
  <c r="B31" i="1"/>
  <c r="C31" i="1"/>
  <c r="P31" i="1" s="1"/>
  <c r="U37" i="1"/>
  <c r="W37" i="1"/>
  <c r="V37" i="1"/>
  <c r="X37" i="1"/>
  <c r="AB37" i="1" s="1"/>
  <c r="T36" i="1"/>
  <c r="V36" i="1"/>
  <c r="U36" i="1"/>
  <c r="T37" i="1"/>
  <c r="X36" i="1"/>
  <c r="Y36" i="1"/>
  <c r="J28" i="1"/>
  <c r="E28" i="1"/>
  <c r="H28" i="1"/>
  <c r="I28" i="1"/>
  <c r="D26" i="1"/>
  <c r="C28" i="1"/>
  <c r="O28" i="1" s="1"/>
  <c r="B28" i="1"/>
  <c r="B26" i="1"/>
  <c r="G26" i="1"/>
  <c r="H26" i="1"/>
  <c r="I26" i="1"/>
  <c r="N27" i="1"/>
  <c r="O27" i="1"/>
  <c r="O25" i="1"/>
  <c r="N25" i="1"/>
  <c r="P25" i="1"/>
  <c r="E25" i="1"/>
  <c r="F25" i="1"/>
  <c r="H25" i="1" s="1"/>
  <c r="G25" i="1"/>
  <c r="N24" i="1"/>
  <c r="O24" i="1"/>
  <c r="P24" i="1"/>
  <c r="E24" i="1"/>
  <c r="F24" i="1"/>
  <c r="G24" i="1"/>
  <c r="X32" i="1" l="1"/>
  <c r="U32" i="1"/>
  <c r="W32" i="1"/>
  <c r="Y32" i="1"/>
  <c r="V32" i="1"/>
  <c r="E43" i="1"/>
  <c r="M43" i="1"/>
  <c r="E40" i="1"/>
  <c r="K39" i="1"/>
  <c r="L39" i="1"/>
  <c r="M39" i="1"/>
  <c r="K37" i="1"/>
  <c r="L37" i="1"/>
  <c r="M37" i="1"/>
  <c r="G38" i="1"/>
  <c r="K46" i="1"/>
  <c r="AA34" i="1"/>
  <c r="Z34" i="1"/>
  <c r="AB34" i="1"/>
  <c r="L25" i="1"/>
  <c r="M25" i="1"/>
  <c r="K25" i="1"/>
  <c r="I24" i="1"/>
  <c r="K24" i="1"/>
  <c r="L24" i="1"/>
  <c r="M24" i="1"/>
  <c r="U47" i="1"/>
  <c r="O47" i="1"/>
  <c r="D47" i="1" s="1"/>
  <c r="V47" i="1"/>
  <c r="N47" i="1"/>
  <c r="P47" i="1"/>
  <c r="N49" i="1"/>
  <c r="O49" i="1"/>
  <c r="B49" i="1" s="1"/>
  <c r="P49" i="1"/>
  <c r="U49" i="1"/>
  <c r="V49" i="1"/>
  <c r="F46" i="1"/>
  <c r="H46" i="1" s="1"/>
  <c r="G43" i="1"/>
  <c r="G46" i="1"/>
  <c r="F43" i="1"/>
  <c r="J43" i="1" s="1"/>
  <c r="E46" i="1"/>
  <c r="B44" i="1"/>
  <c r="AA44" i="1"/>
  <c r="AB44" i="1"/>
  <c r="Z44" i="1"/>
  <c r="C44" i="1"/>
  <c r="AA43" i="1"/>
  <c r="Z43" i="1"/>
  <c r="F42" i="1"/>
  <c r="I42" i="1" s="1"/>
  <c r="G42" i="1"/>
  <c r="E42" i="1"/>
  <c r="F38" i="1"/>
  <c r="I38" i="1" s="1"/>
  <c r="I37" i="1"/>
  <c r="H37" i="1"/>
  <c r="E38" i="1"/>
  <c r="F40" i="1"/>
  <c r="J40" i="1" s="1"/>
  <c r="I39" i="1"/>
  <c r="H39" i="1"/>
  <c r="S30" i="1"/>
  <c r="Q30" i="1"/>
  <c r="W30" i="1"/>
  <c r="Y30" i="1"/>
  <c r="O31" i="1"/>
  <c r="S31" i="1" s="1"/>
  <c r="N31" i="1"/>
  <c r="AA37" i="1"/>
  <c r="Z37" i="1"/>
  <c r="Z36" i="1"/>
  <c r="AB36" i="1"/>
  <c r="AA36" i="1"/>
  <c r="T30" i="1"/>
  <c r="U30" i="1"/>
  <c r="V30" i="1"/>
  <c r="X30" i="1"/>
  <c r="P28" i="1"/>
  <c r="N28" i="1"/>
  <c r="S28" i="1"/>
  <c r="R28" i="1"/>
  <c r="X28" i="1" s="1"/>
  <c r="AA28" i="1" s="1"/>
  <c r="Q28" i="1"/>
  <c r="S27" i="1"/>
  <c r="R27" i="1"/>
  <c r="U27" i="1" s="1"/>
  <c r="Q27" i="1"/>
  <c r="I25" i="1"/>
  <c r="J25" i="1"/>
  <c r="H24" i="1"/>
  <c r="J24" i="1"/>
  <c r="R25" i="1"/>
  <c r="Y25" i="1" s="1"/>
  <c r="Q25" i="1"/>
  <c r="S25" i="1"/>
  <c r="S24" i="1"/>
  <c r="R24" i="1"/>
  <c r="Y24" i="1" s="1"/>
  <c r="Q24" i="1"/>
  <c r="P23" i="1"/>
  <c r="F23" i="1"/>
  <c r="G23" i="1"/>
  <c r="O23" i="1"/>
  <c r="E23" i="1"/>
  <c r="N23" i="1"/>
  <c r="D23" i="1"/>
  <c r="L40" i="1" l="1"/>
  <c r="AB32" i="1"/>
  <c r="Z32" i="1"/>
  <c r="AA32" i="1"/>
  <c r="L43" i="1"/>
  <c r="K43" i="1"/>
  <c r="M42" i="1"/>
  <c r="L42" i="1"/>
  <c r="K42" i="1"/>
  <c r="M40" i="1"/>
  <c r="K40" i="1"/>
  <c r="K38" i="1"/>
  <c r="L38" i="1"/>
  <c r="M38" i="1"/>
  <c r="M46" i="1"/>
  <c r="L46" i="1"/>
  <c r="M23" i="1"/>
  <c r="K23" i="1"/>
  <c r="L23" i="1"/>
  <c r="H23" i="1"/>
  <c r="V27" i="1"/>
  <c r="B47" i="1"/>
  <c r="C47" i="1"/>
  <c r="C49" i="1"/>
  <c r="Z28" i="1"/>
  <c r="D49" i="1"/>
  <c r="AB28" i="1"/>
  <c r="J46" i="1"/>
  <c r="I43" i="1"/>
  <c r="H43" i="1"/>
  <c r="I46" i="1"/>
  <c r="X27" i="1"/>
  <c r="Z27" i="1" s="1"/>
  <c r="G44" i="1"/>
  <c r="F44" i="1"/>
  <c r="J44" i="1" s="1"/>
  <c r="E44" i="1"/>
  <c r="J42" i="1"/>
  <c r="H42" i="1"/>
  <c r="H38" i="1"/>
  <c r="J38" i="1"/>
  <c r="W27" i="1"/>
  <c r="Y27" i="1"/>
  <c r="T27" i="1"/>
  <c r="H40" i="1"/>
  <c r="I40" i="1"/>
  <c r="AB30" i="1"/>
  <c r="Z30" i="1"/>
  <c r="AA30" i="1"/>
  <c r="R31" i="1"/>
  <c r="X31" i="1" s="1"/>
  <c r="Z31" i="1" s="1"/>
  <c r="Q31" i="1"/>
  <c r="T28" i="1"/>
  <c r="U28" i="1"/>
  <c r="V28" i="1"/>
  <c r="Y28" i="1"/>
  <c r="W28" i="1"/>
  <c r="W25" i="1"/>
  <c r="T25" i="1"/>
  <c r="U25" i="1"/>
  <c r="X25" i="1"/>
  <c r="V25" i="1"/>
  <c r="U24" i="1"/>
  <c r="T24" i="1"/>
  <c r="W24" i="1"/>
  <c r="V24" i="1"/>
  <c r="X24" i="1"/>
  <c r="R23" i="1"/>
  <c r="T23" i="1" s="1"/>
  <c r="S23" i="1"/>
  <c r="Q23" i="1"/>
  <c r="J23" i="1"/>
  <c r="I23" i="1"/>
  <c r="F49" i="1" l="1"/>
  <c r="J49" i="1" s="1"/>
  <c r="K49" i="1"/>
  <c r="L49" i="1"/>
  <c r="M49" i="1"/>
  <c r="M44" i="1"/>
  <c r="L44" i="1"/>
  <c r="K44" i="1"/>
  <c r="F47" i="1"/>
  <c r="I47" i="1" s="1"/>
  <c r="L47" i="1"/>
  <c r="M47" i="1"/>
  <c r="K47" i="1"/>
  <c r="G49" i="1"/>
  <c r="E49" i="1"/>
  <c r="E47" i="1"/>
  <c r="G47" i="1"/>
  <c r="AB31" i="1"/>
  <c r="AA27" i="1"/>
  <c r="W31" i="1"/>
  <c r="AB27" i="1"/>
  <c r="I49" i="1"/>
  <c r="H49" i="1"/>
  <c r="H44" i="1"/>
  <c r="I44" i="1"/>
  <c r="U31" i="1"/>
  <c r="T31" i="1"/>
  <c r="AA31" i="1"/>
  <c r="Y31" i="1"/>
  <c r="V31" i="1"/>
  <c r="AB25" i="1"/>
  <c r="AA25" i="1"/>
  <c r="Z25" i="1"/>
  <c r="AB24" i="1"/>
  <c r="AA24" i="1"/>
  <c r="Z24" i="1"/>
  <c r="Y23" i="1"/>
  <c r="W23" i="1"/>
  <c r="X23" i="1"/>
  <c r="V23" i="1"/>
  <c r="U23" i="1"/>
  <c r="H47" i="1" l="1"/>
  <c r="J47" i="1"/>
  <c r="AB23" i="1"/>
  <c r="Z23" i="1"/>
  <c r="AA23" i="1"/>
  <c r="C26" i="1"/>
  <c r="P26" i="1" l="1"/>
  <c r="O26" i="1"/>
  <c r="N26" i="1"/>
  <c r="Q26" i="1" l="1"/>
  <c r="S26" i="1"/>
  <c r="R26" i="1"/>
  <c r="T26" i="1" s="1"/>
  <c r="U26" i="1" l="1"/>
  <c r="V26" i="1"/>
  <c r="W26" i="1"/>
  <c r="X26" i="1"/>
  <c r="Y26" i="1"/>
  <c r="AA26" i="1" l="1"/>
  <c r="Z26" i="1"/>
  <c r="AB26" i="1"/>
  <c r="F29" i="1"/>
  <c r="K29" i="1" l="1"/>
  <c r="L29" i="1"/>
  <c r="M29" i="1"/>
  <c r="C29" i="1"/>
  <c r="P29" i="1" s="1"/>
  <c r="B29" i="1"/>
  <c r="D29" i="1"/>
  <c r="N29" i="1" l="1"/>
  <c r="O29" i="1"/>
  <c r="R29" i="1" l="1"/>
  <c r="W29" i="1" s="1"/>
  <c r="S29" i="1"/>
  <c r="Q29" i="1"/>
  <c r="X29" i="1" l="1"/>
  <c r="AA29" i="1" s="1"/>
  <c r="T29" i="1"/>
  <c r="U29" i="1"/>
  <c r="Y29" i="1"/>
  <c r="V29" i="1"/>
  <c r="Q35" i="1"/>
  <c r="R35" i="1"/>
  <c r="Y35" i="1" s="1"/>
  <c r="S35" i="1"/>
  <c r="AB29" i="1" l="1"/>
  <c r="Z29" i="1"/>
  <c r="W35" i="1"/>
  <c r="U35" i="1"/>
  <c r="T35" i="1"/>
  <c r="F35" i="1"/>
  <c r="E35" i="1"/>
  <c r="G35" i="1"/>
  <c r="V35" i="1"/>
  <c r="X35" i="1"/>
  <c r="J35" i="1" l="1"/>
  <c r="L35" i="1"/>
  <c r="M35" i="1"/>
  <c r="K35" i="1"/>
  <c r="I35" i="1"/>
  <c r="H35" i="1"/>
  <c r="AB35" i="1"/>
  <c r="Z35" i="1"/>
  <c r="AA35" i="1"/>
  <c r="O41" i="1" l="1"/>
  <c r="D41" i="1" s="1"/>
  <c r="Y41" i="1"/>
  <c r="X41" i="1"/>
  <c r="N41" i="1"/>
  <c r="P41" i="1"/>
  <c r="W41" i="1"/>
  <c r="C41" i="1" l="1"/>
  <c r="B41" i="1"/>
  <c r="Z41" i="1"/>
  <c r="AA41" i="1"/>
  <c r="AB41" i="1"/>
  <c r="E41" i="1" l="1"/>
  <c r="G41" i="1"/>
  <c r="F41" i="1"/>
  <c r="J41" i="1" s="1"/>
  <c r="L41" i="1" l="1"/>
  <c r="K41" i="1"/>
  <c r="M41" i="1"/>
  <c r="I41" i="1"/>
  <c r="H41" i="1"/>
  <c r="AA45" i="1"/>
  <c r="Z45" i="1"/>
  <c r="AB45" i="1"/>
  <c r="P45" i="1"/>
  <c r="N45" i="1" l="1"/>
  <c r="O45" i="1"/>
  <c r="C45" i="1" s="1"/>
  <c r="D45" i="1" l="1"/>
  <c r="B45" i="1"/>
  <c r="G45" i="1"/>
  <c r="E45" i="1"/>
  <c r="F45" i="1"/>
  <c r="I45" i="1" s="1"/>
  <c r="L45" i="1" l="1"/>
  <c r="M45" i="1"/>
  <c r="K45" i="1"/>
  <c r="H45" i="1"/>
  <c r="J45" i="1"/>
  <c r="S48" i="1"/>
  <c r="Q48" i="1" l="1"/>
  <c r="R48" i="1"/>
  <c r="T48" i="1" l="1"/>
  <c r="N48" i="1"/>
  <c r="U48" i="1"/>
  <c r="P48" i="1"/>
  <c r="V48" i="1"/>
  <c r="O48" i="1"/>
  <c r="B48" i="1" s="1"/>
  <c r="C48" i="1" l="1"/>
  <c r="D48" i="1"/>
  <c r="E48" i="1" l="1"/>
  <c r="F48" i="1"/>
  <c r="H48" i="1" s="1"/>
  <c r="G48" i="1"/>
  <c r="L48" i="1" l="1"/>
  <c r="M48" i="1"/>
  <c r="K48" i="1"/>
  <c r="I48" i="1"/>
  <c r="J48" i="1"/>
  <c r="F33" i="1"/>
  <c r="I33" i="1" s="1"/>
  <c r="B33" i="1" l="1"/>
  <c r="D33" i="1"/>
  <c r="H33" i="1"/>
  <c r="C33" i="1"/>
  <c r="P33" i="1" s="1"/>
  <c r="J33" i="1"/>
  <c r="O33" i="1" l="1"/>
  <c r="Q33" i="1" s="1"/>
  <c r="N33" i="1"/>
  <c r="R33" i="1" l="1"/>
  <c r="W33" i="1" s="1"/>
  <c r="S33" i="1"/>
  <c r="X33" i="1"/>
  <c r="Y33" i="1"/>
  <c r="V33" i="1" l="1"/>
  <c r="U33" i="1"/>
  <c r="T33" i="1"/>
  <c r="Z33" i="1"/>
  <c r="AA33" i="1"/>
  <c r="AB33" i="1"/>
</calcChain>
</file>

<file path=xl/sharedStrings.xml><?xml version="1.0" encoding="utf-8"?>
<sst xmlns="http://schemas.openxmlformats.org/spreadsheetml/2006/main" count="711" uniqueCount="420">
  <si>
    <t>晶体学，光谱学波数</t>
    <phoneticPr fontId="1" type="noConversion"/>
  </si>
  <si>
    <t>物理学，理论物理波数</t>
    <phoneticPr fontId="1" type="noConversion"/>
  </si>
  <si>
    <t>μm</t>
    <phoneticPr fontId="1" type="noConversion"/>
  </si>
  <si>
    <t>cm^-1</t>
    <phoneticPr fontId="1" type="noConversion"/>
  </si>
  <si>
    <t>mm</t>
    <phoneticPr fontId="1" type="noConversion"/>
  </si>
  <si>
    <t>nm</t>
    <phoneticPr fontId="1" type="noConversion"/>
  </si>
  <si>
    <t>波长</t>
    <phoneticPr fontId="1" type="noConversion"/>
  </si>
  <si>
    <t>别称</t>
    <phoneticPr fontId="1" type="noConversion"/>
  </si>
  <si>
    <t>ccm^-1</t>
    <phoneticPr fontId="1" type="noConversion"/>
  </si>
  <si>
    <t>10^-9</t>
    <phoneticPr fontId="1" type="noConversion"/>
  </si>
  <si>
    <t>10^3</t>
    <phoneticPr fontId="1" type="noConversion"/>
  </si>
  <si>
    <t>10^-6</t>
    <phoneticPr fontId="1" type="noConversion"/>
  </si>
  <si>
    <t>10^-3</t>
    <phoneticPr fontId="1" type="noConversion"/>
  </si>
  <si>
    <t>空间周期 λ（m）</t>
    <phoneticPr fontId="1" type="noConversion"/>
  </si>
  <si>
    <t>空间频率 f（m^-1）</t>
    <phoneticPr fontId="1" type="noConversion"/>
  </si>
  <si>
    <t>10^5</t>
    <phoneticPr fontId="1" type="noConversion"/>
  </si>
  <si>
    <t>10^6</t>
    <phoneticPr fontId="1" type="noConversion"/>
  </si>
  <si>
    <t>相位波数 k（rad/m）</t>
    <phoneticPr fontId="1" type="noConversion"/>
  </si>
  <si>
    <t>10^2</t>
    <phoneticPr fontId="1" type="noConversion"/>
  </si>
  <si>
    <t>0.1 m^-1</t>
    <phoneticPr fontId="1" type="noConversion"/>
  </si>
  <si>
    <t>时间周期 T（s）</t>
    <phoneticPr fontId="1" type="noConversion"/>
  </si>
  <si>
    <t>rad/μm</t>
    <phoneticPr fontId="1" type="noConversion"/>
  </si>
  <si>
    <t>rad/mm</t>
    <phoneticPr fontId="1" type="noConversion"/>
  </si>
  <si>
    <t>rad/m</t>
    <phoneticPr fontId="1" type="noConversion"/>
  </si>
  <si>
    <t>fs</t>
    <phoneticPr fontId="1" type="noConversion"/>
  </si>
  <si>
    <t>10^15</t>
    <phoneticPr fontId="1" type="noConversion"/>
  </si>
  <si>
    <t>10^-15</t>
    <phoneticPr fontId="1" type="noConversion"/>
  </si>
  <si>
    <t>10^-12</t>
    <phoneticPr fontId="1" type="noConversion"/>
  </si>
  <si>
    <t>10^-18</t>
    <phoneticPr fontId="1" type="noConversion"/>
  </si>
  <si>
    <t>as</t>
    <phoneticPr fontId="1" type="noConversion"/>
  </si>
  <si>
    <t>ps</t>
    <phoneticPr fontId="1" type="noConversion"/>
  </si>
  <si>
    <t>时间频率 ν（Hz）</t>
    <phoneticPr fontId="1" type="noConversion"/>
  </si>
  <si>
    <t>THz</t>
    <phoneticPr fontId="1" type="noConversion"/>
  </si>
  <si>
    <t>10^12</t>
    <phoneticPr fontId="1" type="noConversion"/>
  </si>
  <si>
    <t>10^9</t>
    <phoneticPr fontId="1" type="noConversion"/>
  </si>
  <si>
    <t>PHz</t>
    <phoneticPr fontId="1" type="noConversion"/>
  </si>
  <si>
    <t>GHz</t>
    <phoneticPr fontId="1" type="noConversion"/>
  </si>
  <si>
    <t>10^16</t>
    <phoneticPr fontId="1" type="noConversion"/>
  </si>
  <si>
    <t>10^13</t>
    <phoneticPr fontId="1" type="noConversion"/>
  </si>
  <si>
    <t>10^10</t>
    <phoneticPr fontId="1" type="noConversion"/>
  </si>
  <si>
    <t>10 rad·THz</t>
    <phoneticPr fontId="1" type="noConversion"/>
  </si>
  <si>
    <t>10 rad·GHz</t>
    <phoneticPr fontId="1" type="noConversion"/>
  </si>
  <si>
    <t>10 rad·PHz</t>
    <phoneticPr fontId="1" type="noConversion"/>
  </si>
  <si>
    <t>eV·s</t>
    <phoneticPr fontId="1" type="noConversion"/>
  </si>
  <si>
    <t>特征温度 θ（K）</t>
    <phoneticPr fontId="1" type="noConversion"/>
  </si>
  <si>
    <t>10^4</t>
    <phoneticPr fontId="1" type="noConversion"/>
  </si>
  <si>
    <t>10^-2</t>
    <phoneticPr fontId="1" type="noConversion"/>
  </si>
  <si>
    <t>10 kK</t>
    <phoneticPr fontId="1" type="noConversion"/>
  </si>
  <si>
    <t>10 K</t>
    <phoneticPr fontId="1" type="noConversion"/>
  </si>
  <si>
    <t>10 mK</t>
    <phoneticPr fontId="1" type="noConversion"/>
  </si>
  <si>
    <t>输入-输出</t>
    <phoneticPr fontId="1" type="noConversion"/>
  </si>
  <si>
    <t>参数</t>
    <phoneticPr fontId="1" type="noConversion"/>
  </si>
  <si>
    <t>尺度</t>
    <phoneticPr fontId="1" type="noConversion"/>
  </si>
  <si>
    <t>单位</t>
    <phoneticPr fontId="1" type="noConversion"/>
  </si>
  <si>
    <t>rad·PHz</t>
    <phoneticPr fontId="1" type="noConversion"/>
  </si>
  <si>
    <t>rad·THz</t>
    <phoneticPr fontId="1" type="noConversion"/>
  </si>
  <si>
    <t>rad·GHz</t>
    <phoneticPr fontId="1" type="noConversion"/>
  </si>
  <si>
    <t>1 kK</t>
    <phoneticPr fontId="1" type="noConversion"/>
  </si>
  <si>
    <t>1 K</t>
    <phoneticPr fontId="1" type="noConversion"/>
  </si>
  <si>
    <t>1 mK</t>
    <phoneticPr fontId="1" type="noConversion"/>
  </si>
  <si>
    <t>m^-1</t>
    <phoneticPr fontId="1" type="noConversion"/>
  </si>
  <si>
    <t>mm^-1</t>
    <phoneticPr fontId="1" type="noConversion"/>
  </si>
  <si>
    <t>μm^-1</t>
    <phoneticPr fontId="1" type="noConversion"/>
  </si>
  <si>
    <t>合适但不标准的数量级；半自动判断单位</t>
    <phoneticPr fontId="1" type="noConversion"/>
  </si>
  <si>
    <t>合适但不标准的数量级；全自动判断单位</t>
    <phoneticPr fontId="1" type="noConversion"/>
  </si>
  <si>
    <t>标准但不合适的数量级；全自动判断单位</t>
    <phoneticPr fontId="1" type="noConversion"/>
  </si>
  <si>
    <t>相位频率 ω（rad·Hz）</t>
    <phoneticPr fontId="1" type="noConversion"/>
  </si>
  <si>
    <t>角频率</t>
    <phoneticPr fontId="1" type="noConversion"/>
  </si>
  <si>
    <t>辅算表格</t>
    <phoneticPr fontId="1" type="noConversion"/>
  </si>
  <si>
    <t>单光子能量</t>
    <phoneticPr fontId="1" type="noConversion"/>
  </si>
  <si>
    <t>振荡周期</t>
    <phoneticPr fontId="1" type="noConversion"/>
  </si>
  <si>
    <t>振荡频率</t>
    <phoneticPr fontId="1" type="noConversion"/>
  </si>
  <si>
    <t>热力学温度</t>
    <phoneticPr fontId="1" type="noConversion"/>
  </si>
  <si>
    <t>单光子动量</t>
    <phoneticPr fontId="1" type="noConversion"/>
  </si>
  <si>
    <t>能量 ε（eV）</t>
    <phoneticPr fontId="1" type="noConversion"/>
  </si>
  <si>
    <t>动量（eV/c）</t>
    <phoneticPr fontId="1" type="noConversion"/>
  </si>
  <si>
    <t>1 wK</t>
    <phoneticPr fontId="1" type="noConversion"/>
  </si>
  <si>
    <t>1w rad·THz</t>
    <phoneticPr fontId="1" type="noConversion"/>
  </si>
  <si>
    <t>1w rad·GHz</t>
    <phoneticPr fontId="1" type="noConversion"/>
  </si>
  <si>
    <t>1w rad·MHz</t>
    <phoneticPr fontId="1" type="noConversion"/>
  </si>
  <si>
    <t>eV/c</t>
    <phoneticPr fontId="1" type="noConversion"/>
  </si>
  <si>
    <t>μeV/c</t>
    <phoneticPr fontId="1" type="noConversion"/>
  </si>
  <si>
    <t>meV/c</t>
    <phoneticPr fontId="1" type="noConversion"/>
  </si>
  <si>
    <t>F/m</t>
    <phoneticPr fontId="1" type="noConversion"/>
  </si>
  <si>
    <t>ε_0</t>
    <phoneticPr fontId="1" type="noConversion"/>
  </si>
  <si>
    <t>e</t>
    <phoneticPr fontId="1" type="noConversion"/>
  </si>
  <si>
    <t>电子电量</t>
    <phoneticPr fontId="1" type="noConversion"/>
  </si>
  <si>
    <t>C</t>
    <phoneticPr fontId="1" type="noConversion"/>
  </si>
  <si>
    <t>真空介电常数</t>
    <phoneticPr fontId="1" type="noConversion"/>
  </si>
  <si>
    <t>电子质量</t>
    <phoneticPr fontId="1" type="noConversion"/>
  </si>
  <si>
    <t>m_0</t>
    <phoneticPr fontId="1" type="noConversion"/>
  </si>
  <si>
    <t>kg</t>
    <phoneticPr fontId="1" type="noConversion"/>
  </si>
  <si>
    <t>Al</t>
    <phoneticPr fontId="1" type="noConversion"/>
  </si>
  <si>
    <t>N</t>
    <phoneticPr fontId="1" type="noConversion"/>
  </si>
  <si>
    <t>本征频率</t>
    <phoneticPr fontId="1" type="noConversion"/>
  </si>
  <si>
    <t>价电子数</t>
    <phoneticPr fontId="1" type="noConversion"/>
  </si>
  <si>
    <t>ω_p</t>
    <phoneticPr fontId="1" type="noConversion"/>
  </si>
  <si>
    <t>"+?"</t>
    <phoneticPr fontId="1" type="noConversion"/>
  </si>
  <si>
    <t>Hz</t>
    <phoneticPr fontId="1" type="noConversion"/>
  </si>
  <si>
    <t>/m^3</t>
    <phoneticPr fontId="1" type="noConversion"/>
  </si>
  <si>
    <t>原子数密度</t>
    <phoneticPr fontId="1" type="noConversion"/>
  </si>
  <si>
    <t>频率</t>
    <phoneticPr fontId="1" type="noConversion"/>
  </si>
  <si>
    <t>ω</t>
    <phoneticPr fontId="1" type="noConversion"/>
  </si>
  <si>
    <t>特征耗散时间</t>
    <phoneticPr fontId="1" type="noConversion"/>
  </si>
  <si>
    <t>τ</t>
    <phoneticPr fontId="1" type="noConversion"/>
  </si>
  <si>
    <t>直流电导率</t>
    <phoneticPr fontId="1" type="noConversion"/>
  </si>
  <si>
    <t>σ_0</t>
    <phoneticPr fontId="1" type="noConversion"/>
  </si>
  <si>
    <t>/(Ω·m)</t>
    <phoneticPr fontId="1" type="noConversion"/>
  </si>
  <si>
    <t>s</t>
    <phoneticPr fontId="1" type="noConversion"/>
  </si>
  <si>
    <t>σ</t>
    <phoneticPr fontId="1" type="noConversion"/>
  </si>
  <si>
    <t>（交流）电导率</t>
    <phoneticPr fontId="1" type="noConversion"/>
  </si>
  <si>
    <t>m</t>
    <phoneticPr fontId="1" type="noConversion"/>
  </si>
  <si>
    <t>λ</t>
    <phoneticPr fontId="1" type="noConversion"/>
  </si>
  <si>
    <t>光速</t>
    <phoneticPr fontId="1" type="noConversion"/>
  </si>
  <si>
    <t>c</t>
    <phoneticPr fontId="1" type="noConversion"/>
  </si>
  <si>
    <t>m/s</t>
    <phoneticPr fontId="1" type="noConversion"/>
  </si>
  <si>
    <t>rad·Hz</t>
    <phoneticPr fontId="1" type="noConversion"/>
  </si>
  <si>
    <t>ε_r</t>
    <phoneticPr fontId="1" type="noConversion"/>
  </si>
  <si>
    <t>相对介电常数</t>
    <phoneticPr fontId="1" type="noConversion"/>
  </si>
  <si>
    <t>~n</t>
    <phoneticPr fontId="1" type="noConversion"/>
  </si>
  <si>
    <t>复折射率</t>
    <phoneticPr fontId="1" type="noConversion"/>
  </si>
  <si>
    <t>R</t>
    <phoneticPr fontId="1" type="noConversion"/>
  </si>
  <si>
    <t>反射率</t>
    <phoneticPr fontId="1" type="noConversion"/>
  </si>
  <si>
    <t>跟随</t>
    <phoneticPr fontId="1" type="noConversion"/>
  </si>
  <si>
    <t>手动</t>
    <phoneticPr fontId="1" type="noConversion"/>
  </si>
  <si>
    <t>固定</t>
    <phoneticPr fontId="1" type="noConversion"/>
  </si>
  <si>
    <t>有效轻空穴质量</t>
    <phoneticPr fontId="1" type="noConversion"/>
  </si>
  <si>
    <t>有效重空穴质量</t>
    <phoneticPr fontId="1" type="noConversion"/>
  </si>
  <si>
    <t>GaAs</t>
    <phoneticPr fontId="1" type="noConversion"/>
  </si>
  <si>
    <t>普朗克常数</t>
    <phoneticPr fontId="1" type="noConversion"/>
  </si>
  <si>
    <t>h</t>
    <phoneticPr fontId="1" type="noConversion"/>
  </si>
  <si>
    <t>约化普朗克常数</t>
    <phoneticPr fontId="1" type="noConversion"/>
  </si>
  <si>
    <t>h_bar</t>
    <phoneticPr fontId="1" type="noConversion"/>
  </si>
  <si>
    <t>J·s</t>
    <phoneticPr fontId="1" type="noConversion"/>
  </si>
  <si>
    <t>量子态数</t>
    <phoneticPr fontId="1" type="noConversion"/>
  </si>
  <si>
    <t>m*_hh</t>
    <phoneticPr fontId="1" type="noConversion"/>
  </si>
  <si>
    <t>m*_lh</t>
    <phoneticPr fontId="1" type="noConversion"/>
  </si>
  <si>
    <t>费米能级</t>
    <phoneticPr fontId="1" type="noConversion"/>
  </si>
  <si>
    <t>重p型掺杂的GaAs</t>
    <phoneticPr fontId="1" type="noConversion"/>
  </si>
  <si>
    <t>E_F</t>
    <phoneticPr fontId="1" type="noConversion"/>
  </si>
  <si>
    <t>J</t>
    <phoneticPr fontId="1" type="noConversion"/>
  </si>
  <si>
    <t>eV</t>
    <phoneticPr fontId="1" type="noConversion"/>
  </si>
  <si>
    <t>重空穴波矢</t>
    <phoneticPr fontId="1" type="noConversion"/>
  </si>
  <si>
    <t>k_F^hh</t>
    <phoneticPr fontId="1" type="noConversion"/>
  </si>
  <si>
    <t>k_F^lh</t>
    <phoneticPr fontId="1" type="noConversion"/>
  </si>
  <si>
    <t>轻空穴波矢</t>
    <phoneticPr fontId="1" type="noConversion"/>
  </si>
  <si>
    <t>Lh→hh 带间跃迁最高能量</t>
    <phoneticPr fontId="1" type="noConversion"/>
  </si>
  <si>
    <t>Lh→hh 带间跃迁最低能量</t>
    <phoneticPr fontId="1" type="noConversion"/>
  </si>
  <si>
    <t>E_hh(k_F^hh)-E_lh(k_F^hh)</t>
    <phoneticPr fontId="1" type="noConversion"/>
  </si>
  <si>
    <t>E_hh(k_F^lh)-E_lh(k_F^lh)</t>
    <phoneticPr fontId="1" type="noConversion"/>
  </si>
  <si>
    <t>meV</t>
    <phoneticPr fontId="1" type="noConversion"/>
  </si>
  <si>
    <t>μeV</t>
    <phoneticPr fontId="1" type="noConversion"/>
  </si>
  <si>
    <t>材料</t>
    <phoneticPr fontId="1" type="noConversion"/>
  </si>
  <si>
    <t>机理</t>
    <phoneticPr fontId="1" type="noConversion"/>
  </si>
  <si>
    <t>光源</t>
    <phoneticPr fontId="1" type="noConversion"/>
  </si>
  <si>
    <t>效率</t>
    <phoneticPr fontId="1" type="noConversion"/>
  </si>
  <si>
    <t>宽带</t>
    <phoneticPr fontId="1" type="noConversion"/>
  </si>
  <si>
    <t>窄带</t>
    <phoneticPr fontId="1" type="noConversion"/>
  </si>
  <si>
    <t>转换</t>
    <phoneticPr fontId="1" type="noConversion"/>
  </si>
  <si>
    <t>结果</t>
    <phoneticPr fontId="1" type="noConversion"/>
  </si>
  <si>
    <t>世界纪录（2019）</t>
    <phoneticPr fontId="1" type="noConversion"/>
  </si>
  <si>
    <t>传输</t>
    <phoneticPr fontId="1" type="noConversion"/>
  </si>
  <si>
    <t>探测</t>
    <phoneticPr fontId="1" type="noConversion"/>
  </si>
  <si>
    <t>加速自由载流子</t>
    <phoneticPr fontId="1" type="noConversion"/>
  </si>
  <si>
    <t>半导体衬底上镀两根金属天线</t>
    <phoneticPr fontId="1" type="noConversion"/>
  </si>
  <si>
    <t>1984 APL</t>
    <phoneticPr fontId="1" type="noConversion"/>
  </si>
  <si>
    <t>亚皮秒脉冲</t>
    <phoneticPr fontId="1" type="noConversion"/>
  </si>
  <si>
    <t>临近谱分量差频</t>
    <phoneticPr fontId="1" type="noConversion"/>
  </si>
  <si>
    <t>泵浦</t>
    <phoneticPr fontId="1" type="noConversion"/>
  </si>
  <si>
    <t>是</t>
    <phoneticPr fontId="1" type="noConversion"/>
  </si>
  <si>
    <t>电子学</t>
    <phoneticPr fontId="1" type="noConversion"/>
  </si>
  <si>
    <t>光学</t>
    <phoneticPr fontId="1" type="noConversion"/>
  </si>
  <si>
    <t>光+电</t>
    <phoneticPr fontId="1" type="noConversion"/>
  </si>
  <si>
    <t>相干探测</t>
    <phoneticPr fontId="1" type="noConversion"/>
  </si>
  <si>
    <t>调谐波长</t>
    <phoneticPr fontId="1" type="noConversion"/>
  </si>
  <si>
    <t>频率走向</t>
    <phoneticPr fontId="1" type="noConversion"/>
  </si>
  <si>
    <t>周期减速系统</t>
  </si>
  <si>
    <t>高压电场驱动自由电子</t>
    <phoneticPr fontId="1" type="noConversion"/>
  </si>
  <si>
    <t>磁波荡器</t>
    <phoneticPr fontId="1" type="noConversion"/>
  </si>
  <si>
    <t>全频谱匹配；继承飞秒包络</t>
    <phoneticPr fontId="1" type="noConversion"/>
  </si>
  <si>
    <t>离散单频</t>
    <phoneticPr fontId="1" type="noConversion"/>
  </si>
  <si>
    <t>激励源+种子光+增益介质+谐振腔</t>
    <phoneticPr fontId="1" type="noConversion"/>
  </si>
  <si>
    <t>1987 IJIMW</t>
    <phoneticPr fontId="1" type="noConversion"/>
  </si>
  <si>
    <t>1998 Springer-Verlag</t>
    <phoneticPr fontId="1" type="noConversion"/>
  </si>
  <si>
    <t>2003 PRL</t>
    <phoneticPr fontId="1" type="noConversion"/>
  </si>
  <si>
    <t>否</t>
    <phoneticPr fontId="1" type="noConversion"/>
  </si>
  <si>
    <t>响应范围</t>
    <phoneticPr fontId="1" type="noConversion"/>
  </si>
  <si>
    <t>慢</t>
    <phoneticPr fontId="1" type="noConversion"/>
  </si>
  <si>
    <t>响应速度</t>
    <phoneticPr fontId="1" type="noConversion"/>
  </si>
  <si>
    <t>灵敏度（NEP - W/(Hz)^1/2）</t>
    <phoneticPr fontId="1" type="noConversion"/>
  </si>
  <si>
    <t>阱内子带跃迁 + 量子隧穿至旁阱</t>
    <phoneticPr fontId="1" type="noConversion"/>
  </si>
  <si>
    <t>天线偏压 + 飞秒脉冲</t>
    <phoneticPr fontId="1" type="noConversion"/>
  </si>
  <si>
    <t>2007 NP</t>
    <phoneticPr fontId="1" type="noConversion"/>
  </si>
  <si>
    <t>密闭室气体热膨胀，后端面反射镜偏转，反射光和输出电流位置改变</t>
    <phoneticPr fontId="1" type="noConversion"/>
  </si>
  <si>
    <t>振动敏感：防震</t>
    <phoneticPr fontId="1" type="noConversion"/>
  </si>
  <si>
    <t>快</t>
    <phoneticPr fontId="1" type="noConversion"/>
  </si>
  <si>
    <t>吸收系数</t>
  </si>
  <si>
    <t>相位匹配 的 二阶非线性过程</t>
    <phoneticPr fontId="1" type="noConversion"/>
  </si>
  <si>
    <t>峰值</t>
    <phoneticPr fontId="1" type="noConversion"/>
  </si>
  <si>
    <t>平均</t>
    <phoneticPr fontId="1" type="noConversion"/>
  </si>
  <si>
    <t>248 mW</t>
    <phoneticPr fontId="1" type="noConversion"/>
  </si>
  <si>
    <t>1.25 W</t>
    <phoneticPr fontId="1" type="noConversion"/>
  </si>
  <si>
    <t>138 mW</t>
    <phoneticPr fontId="1" type="noConversion"/>
  </si>
  <si>
    <t>&gt;100 W</t>
    <phoneticPr fontId="1" type="noConversion"/>
  </si>
  <si>
    <t>186 K</t>
    <phoneticPr fontId="1" type="noConversion"/>
  </si>
  <si>
    <t>117 K</t>
    <phoneticPr fontId="1" type="noConversion"/>
  </si>
  <si>
    <t>n型掺杂 半导体量子阱</t>
    <phoneticPr fontId="1" type="noConversion"/>
  </si>
  <si>
    <t>真空电子管</t>
    <phoneticPr fontId="1" type="noConversion"/>
  </si>
  <si>
    <t>100 mW</t>
    <phoneticPr fontId="1" type="noConversion"/>
  </si>
  <si>
    <t>极高</t>
    <phoneticPr fontId="1" type="noConversion"/>
  </si>
  <si>
    <t>体积大、不稳</t>
    <phoneticPr fontId="1" type="noConversion"/>
  </si>
  <si>
    <t>分子气体增益介质气体激光器</t>
    <phoneticPr fontId="1" type="noConversion"/>
  </si>
  <si>
    <t>ns 波形</t>
    <phoneticPr fontId="1" type="noConversion"/>
  </si>
  <si>
    <t>有匹配的二阶非线性晶体（GaAs,DUST 等）</t>
    <phoneticPr fontId="1" type="noConversion"/>
  </si>
  <si>
    <t>1971 SPS</t>
    <phoneticPr fontId="1" type="noConversion"/>
  </si>
  <si>
    <t>高（10^-9 / 245 pJ）</t>
    <phoneticPr fontId="1" type="noConversion"/>
  </si>
  <si>
    <t>低 （10^-9）</t>
    <phoneticPr fontId="1" type="noConversion"/>
  </si>
  <si>
    <t>1963 PPS</t>
    <phoneticPr fontId="1" type="noConversion"/>
  </si>
  <si>
    <t>电磁耦子 的  受激拉曼散射</t>
    <phoneticPr fontId="1" type="noConversion"/>
  </si>
  <si>
    <t>超高（10^-15~10^-12）</t>
    <phoneticPr fontId="1" type="noConversion"/>
  </si>
  <si>
    <t>最高（10^-16）</t>
    <phoneticPr fontId="1" type="noConversion"/>
  </si>
  <si>
    <t>438 nJ</t>
    <phoneticPr fontId="1" type="noConversion"/>
  </si>
  <si>
    <t>两束频率接近的单色泵浦光</t>
    <phoneticPr fontId="1" type="noConversion"/>
  </si>
  <si>
    <t>永久电偶极矩束缚分子转动能级跃迁</t>
    <phoneticPr fontId="1" type="noConversion"/>
  </si>
  <si>
    <t>静电势能 → 电磁脉冲</t>
    <phoneticPr fontId="1" type="noConversion"/>
  </si>
  <si>
    <t>电子动能 → 光子能量</t>
    <phoneticPr fontId="1" type="noConversion"/>
  </si>
  <si>
    <t>电子动能 → 电磁场能</t>
    <phoneticPr fontId="1" type="noConversion"/>
  </si>
  <si>
    <t>分子跃迁 → 受激辐射</t>
    <phoneticPr fontId="1" type="noConversion"/>
  </si>
  <si>
    <t>高能光子对 → 单低能光子</t>
    <phoneticPr fontId="1" type="noConversion"/>
  </si>
  <si>
    <t>2005 OL</t>
    <phoneticPr fontId="1" type="noConversion"/>
  </si>
  <si>
    <t>高量子效率 输出低频脉冲场</t>
    <phoneticPr fontId="1" type="noConversion"/>
  </si>
  <si>
    <t>高量子效率 输出低频连续场</t>
    <phoneticPr fontId="1" type="noConversion"/>
  </si>
  <si>
    <t>&gt;1THz 下降</t>
    <phoneticPr fontId="1" type="noConversion"/>
  </si>
  <si>
    <t>太赫兹 + 探测光 = 上转换光</t>
    <phoneticPr fontId="1" type="noConversion"/>
  </si>
  <si>
    <t>有匹配的二阶非线性晶体</t>
    <phoneticPr fontId="1" type="noConversion"/>
  </si>
  <si>
    <t>飞秒脉冲</t>
    <phoneticPr fontId="1" type="noConversion"/>
  </si>
  <si>
    <t>相同相位匹配 的低频场 相干叠加</t>
    <phoneticPr fontId="1" type="noConversion"/>
  </si>
  <si>
    <t>单色泵浦光 → THz + 闲频光</t>
    <phoneticPr fontId="1" type="noConversion"/>
  </si>
  <si>
    <t>一束单色泵浦光</t>
    <phoneticPr fontId="1" type="noConversion"/>
  </si>
  <si>
    <t>一束飞秒脉冲</t>
    <phoneticPr fontId="1" type="noConversion"/>
  </si>
  <si>
    <t>中</t>
    <phoneticPr fontId="1" type="noConversion"/>
  </si>
  <si>
    <t>超快</t>
    <phoneticPr fontId="1" type="noConversion"/>
  </si>
  <si>
    <t>增益介质光损伤 + 吸收系数</t>
    <phoneticPr fontId="1" type="noConversion"/>
  </si>
  <si>
    <t>12.5 μJ</t>
    <phoneticPr fontId="1" type="noConversion"/>
  </si>
  <si>
    <t>&lt;0.1%</t>
    <phoneticPr fontId="1" type="noConversion"/>
  </si>
  <si>
    <t>5 μJ</t>
    <phoneticPr fontId="1" type="noConversion"/>
  </si>
  <si>
    <t>频率低；偏压限制</t>
    <phoneticPr fontId="1" type="noConversion"/>
  </si>
  <si>
    <t>水膜</t>
    <phoneticPr fontId="1" type="noConversion"/>
  </si>
  <si>
    <t>15~30 否</t>
    <phoneticPr fontId="1" type="noConversion"/>
  </si>
  <si>
    <t>0.1~2 否</t>
    <phoneticPr fontId="1" type="noConversion"/>
  </si>
  <si>
    <t>2008 NP</t>
    <phoneticPr fontId="1" type="noConversion"/>
  </si>
  <si>
    <t>只可探测低重复频率脉冲辐射；目前室温已经商业化</t>
    <phoneticPr fontId="1" type="noConversion"/>
  </si>
  <si>
    <t>800nm 基频 + BBO 倍频</t>
    <phoneticPr fontId="1" type="noConversion"/>
  </si>
  <si>
    <t>空气</t>
    <phoneticPr fontId="1" type="noConversion"/>
  </si>
  <si>
    <t>双色强场共同作用空气，电离气体分子</t>
    <phoneticPr fontId="1" type="noConversion"/>
  </si>
  <si>
    <t>缺点/优点</t>
    <phoneticPr fontId="1" type="noConversion"/>
  </si>
  <si>
    <t>/能量集中在低频</t>
    <phoneticPr fontId="1" type="noConversion"/>
  </si>
  <si>
    <t>0~30 否</t>
    <phoneticPr fontId="1" type="noConversion"/>
  </si>
  <si>
    <t>吸收系数；LiNbO3 4eV 宽禁带，高频强场中心脉冲，会导致多光子吸收，大量光生载流子，打坏晶体</t>
    <phoneticPr fontId="1" type="noConversion"/>
  </si>
  <si>
    <t>宽禁带半导体：多光子吸收，大量光生载流子，打坏半导体</t>
    <phoneticPr fontId="1" type="noConversion"/>
  </si>
  <si>
    <t>历史/现状</t>
    <phoneticPr fontId="1" type="noConversion"/>
  </si>
  <si>
    <t>1971 APL/2010 OE</t>
    <phoneticPr fontId="1" type="noConversion"/>
  </si>
  <si>
    <t>/2017 APL</t>
    <phoneticPr fontId="1" type="noConversion"/>
  </si>
  <si>
    <t>等离子体在超快强场下形成方向性电流，辐射 THz</t>
    <phoneticPr fontId="1" type="noConversion"/>
  </si>
  <si>
    <t>/2013 OL/2016 PRL/2018 OL</t>
    <phoneticPr fontId="1" type="noConversion"/>
  </si>
  <si>
    <t>黑体辐射、铌酸锂晶体、水，都是良好的吸收体的同时，也是良好的辐射体</t>
    <phoneticPr fontId="1" type="noConversion"/>
  </si>
  <si>
    <t>轰击固体靶，带电粒子从材料中渡越到空气</t>
    <phoneticPr fontId="1" type="noConversion"/>
  </si>
  <si>
    <t>产生大角度、宽谱连续辐射</t>
    <phoneticPr fontId="1" type="noConversion"/>
  </si>
  <si>
    <t>&gt;air plasma</t>
    <phoneticPr fontId="1" type="noConversion"/>
  </si>
  <si>
    <t>超强激光</t>
    <phoneticPr fontId="1" type="noConversion"/>
  </si>
  <si>
    <t>THz 能量 正比于 泵浦能量；一定范围内正相关于 持续时间（+-GDD）</t>
    <phoneticPr fontId="1" type="noConversion"/>
  </si>
  <si>
    <t>大于带隙的飞秒脉冲激发出光生载流子</t>
    <phoneticPr fontId="1" type="noConversion"/>
  </si>
  <si>
    <t>逆自旋霍尔效应：瞬态光电场 → 电子流 → 流经铁磁层 → 自旋流×自旋极化矢量 → 自旋电子流</t>
    <phoneticPr fontId="1" type="noConversion"/>
  </si>
  <si>
    <t>极贵</t>
    <phoneticPr fontId="1" type="noConversion"/>
  </si>
  <si>
    <t>mW</t>
    <phoneticPr fontId="1" type="noConversion"/>
  </si>
  <si>
    <t>1990 APL</t>
    <phoneticPr fontId="1" type="noConversion"/>
  </si>
  <si>
    <t>可二次谐波到1.2 THz，μW量级</t>
    <phoneticPr fontId="1" type="noConversion"/>
  </si>
  <si>
    <t xml:space="preserve">3 ~ 0.3 mW </t>
    <phoneticPr fontId="1" type="noConversion"/>
  </si>
  <si>
    <t>超高工作频率宽禁带半导体材料（GaN）</t>
    <phoneticPr fontId="1" type="noConversion"/>
  </si>
  <si>
    <t>宽/窄禁带 半导体材料（宽InP/GaAs、窄InAs）</t>
    <phoneticPr fontId="1" type="noConversion"/>
  </si>
  <si>
    <t>超导电流；强、大型、订制、精细磁场</t>
    <phoneticPr fontId="1" type="noConversion"/>
  </si>
  <si>
    <t>同步辐射；有谐振腔 or 储存环的X射线 FEL</t>
    <phoneticPr fontId="1" type="noConversion"/>
  </si>
  <si>
    <t xml:space="preserve"> </t>
    <phoneticPr fontId="1" type="noConversion"/>
  </si>
  <si>
    <t>/无损伤阈值上限</t>
    <phoneticPr fontId="1" type="noConversion"/>
  </si>
  <si>
    <t>高</t>
    <phoneticPr fontId="1" type="noConversion"/>
  </si>
  <si>
    <t>电偶极辐射模型；半导体导带价带在与空气交界面会向下弯曲，导致电子往上移，空穴往下移，形成耗尽层，光生载流子在耗尽层的驱动下形成光生电流；
窄禁带半导体的能带弯曲不严重，但电子迁移率、移动速度比空穴高很多，以至瞬态电子浓度梯度更大，丹伯尔场快速建立和弛豫。</t>
    <phoneticPr fontId="1" type="noConversion"/>
  </si>
  <si>
    <t>设计高频振荡电路输出 THz</t>
    <phoneticPr fontId="1" type="noConversion"/>
  </si>
  <si>
    <t>耿氏效应：材料的本征特性之负微分迁移率所带来的负阻效应</t>
    <phoneticPr fontId="1" type="noConversion"/>
  </si>
  <si>
    <t>电激励 以维持高频谐振</t>
    <phoneticPr fontId="1" type="noConversion"/>
  </si>
  <si>
    <t>光整流（倾斜波前/切伦科夫）</t>
    <phoneticPr fontId="1" type="noConversion"/>
  </si>
  <si>
    <t>0.7 mJ</t>
    <phoneticPr fontId="1" type="noConversion"/>
  </si>
  <si>
    <t>参量过程（TPO）</t>
    <phoneticPr fontId="1" type="noConversion"/>
  </si>
  <si>
    <t>光整流（OR）</t>
    <phoneticPr fontId="1" type="noConversion"/>
  </si>
  <si>
    <t>量子级联激光器（QCL）</t>
    <phoneticPr fontId="1" type="noConversion"/>
  </si>
  <si>
    <t>自由电子激光器（FEL）</t>
    <phoneticPr fontId="1" type="noConversion"/>
  </si>
  <si>
    <t>气体激光器（GL）</t>
    <phoneticPr fontId="1" type="noConversion"/>
  </si>
  <si>
    <t>双波长差频（DFG）</t>
    <phoneticPr fontId="1" type="noConversion"/>
  </si>
  <si>
    <t>两束中心频率接近的脉冲光</t>
    <phoneticPr fontId="1" type="noConversion"/>
  </si>
  <si>
    <t>&gt;15 否</t>
    <phoneticPr fontId="1" type="noConversion"/>
  </si>
  <si>
    <t>0.8~3 可</t>
    <phoneticPr fontId="1" type="noConversion"/>
  </si>
  <si>
    <t>&gt;10 MV/cm</t>
    <phoneticPr fontId="1" type="noConversion"/>
  </si>
  <si>
    <t>/2011 OE</t>
    <phoneticPr fontId="1" type="noConversion"/>
  </si>
  <si>
    <t>不稳、吸收系数</t>
    <phoneticPr fontId="1" type="noConversion"/>
  </si>
  <si>
    <t>宽线宽、吸收系数</t>
    <phoneticPr fontId="1" type="noConversion"/>
  </si>
  <si>
    <t>/2015 OL/2020 arxiv</t>
    <phoneticPr fontId="1" type="noConversion"/>
  </si>
  <si>
    <t>大</t>
    <phoneticPr fontId="1" type="noConversion"/>
  </si>
  <si>
    <t>系统复杂</t>
    <phoneticPr fontId="1" type="noConversion"/>
  </si>
  <si>
    <t>电压源 → 电流计 + 探测光脉冲</t>
    <phoneticPr fontId="1" type="noConversion"/>
  </si>
  <si>
    <t>热释电晶体，辐射强度 → 晶格热 → 温度变化 → 电压变化</t>
    <phoneticPr fontId="1" type="noConversion"/>
  </si>
  <si>
    <t>热敏电阻，辐射强度 → 晶格热 → 热敏电阻阻值</t>
    <phoneticPr fontId="1" type="noConversion"/>
  </si>
  <si>
    <t>返波管（BWO）</t>
    <phoneticPr fontId="1" type="noConversion"/>
  </si>
  <si>
    <t>耿氏二极管振荡器（Gunn）</t>
    <phoneticPr fontId="1" type="noConversion"/>
  </si>
  <si>
    <t>液体水膜（LW）</t>
    <phoneticPr fontId="1" type="noConversion"/>
  </si>
  <si>
    <t>光电导天线（LAPCA）</t>
    <phoneticPr fontId="1" type="noConversion"/>
  </si>
  <si>
    <t>渡越辐射（TR）</t>
    <phoneticPr fontId="1" type="noConversion"/>
  </si>
  <si>
    <t>双色场空气等离子体源（TWP）</t>
    <phoneticPr fontId="1" type="noConversion"/>
  </si>
  <si>
    <t>半导体表面场（SSF）</t>
    <phoneticPr fontId="1" type="noConversion"/>
  </si>
  <si>
    <t>1.2~5 否</t>
    <phoneticPr fontId="1" type="noConversion"/>
  </si>
  <si>
    <t>0~∞ 可</t>
    <phoneticPr fontId="1" type="noConversion"/>
  </si>
  <si>
    <t>&lt;1 可</t>
    <phoneticPr fontId="1" type="noConversion"/>
  </si>
  <si>
    <t>0.2~0.6 可</t>
    <phoneticPr fontId="1" type="noConversion"/>
  </si>
  <si>
    <t>0.3~30 可</t>
    <phoneticPr fontId="1" type="noConversion"/>
  </si>
  <si>
    <t>0.1~100 可</t>
    <phoneticPr fontId="1" type="noConversion"/>
  </si>
  <si>
    <t>0.1~5 可</t>
    <phoneticPr fontId="1" type="noConversion"/>
  </si>
  <si>
    <t>长波辐射需要液氦制冷；体积大</t>
    <phoneticPr fontId="1" type="noConversion"/>
  </si>
  <si>
    <t>ns 时间分辨率</t>
    <phoneticPr fontId="1" type="noConversion"/>
  </si>
  <si>
    <t>高莱盒（GC）</t>
    <phoneticPr fontId="1" type="noConversion"/>
  </si>
  <si>
    <t>辐射热计（BM）</t>
    <phoneticPr fontId="1" type="noConversion"/>
  </si>
  <si>
    <t>热释电探测器（PD）</t>
    <phoneticPr fontId="1" type="noConversion"/>
  </si>
  <si>
    <t>二阶非线性介质与线性介质的交界（打固体界面生成等离子体；类似均一极化LN两端面光整流，但只有一面）</t>
    <phoneticPr fontId="1" type="noConversion"/>
  </si>
  <si>
    <t>Unknown</t>
    <phoneticPr fontId="1" type="noConversion"/>
  </si>
  <si>
    <t>丄表面瞬态光生电流辐射出 THz 脉冲</t>
    <phoneticPr fontId="1" type="noConversion"/>
  </si>
  <si>
    <t>近红外飞秒脉冲 → 窄带多周期 THz</t>
    <phoneticPr fontId="1" type="noConversion"/>
  </si>
  <si>
    <t>1%；3%</t>
    <phoneticPr fontId="1" type="noConversion"/>
  </si>
  <si>
    <t>10%；40%</t>
    <phoneticPr fontId="1" type="noConversion"/>
  </si>
  <si>
    <t>E-4~E-6</t>
    <phoneticPr fontId="1" type="noConversion"/>
  </si>
  <si>
    <t>&gt;E-3</t>
    <phoneticPr fontId="1" type="noConversion"/>
  </si>
  <si>
    <t>400 μJ；700 μJ；50 mJ</t>
    <phoneticPr fontId="1" type="noConversion"/>
  </si>
  <si>
    <t>436 μJ；900 μJ；1 MV/cm</t>
    <phoneticPr fontId="1" type="noConversion"/>
  </si>
  <si>
    <t>缺点/优点2</t>
  </si>
  <si>
    <t>低频场对晶体产生EO效应，检测线偏振光的椭偏度 + 改变探测脉冲光重频，得THz时域波形</t>
    <phoneticPr fontId="1" type="noConversion"/>
  </si>
  <si>
    <t>和频（SFG）</t>
    <phoneticPr fontId="1" type="noConversion"/>
  </si>
  <si>
    <t>上转换（UC）</t>
    <phoneticPr fontId="1" type="noConversion"/>
  </si>
  <si>
    <t>功能</t>
    <phoneticPr fontId="1" type="noConversion"/>
  </si>
  <si>
    <t>有吸收；不利于辅助光路调节</t>
    <phoneticPr fontId="1" type="noConversion"/>
  </si>
  <si>
    <t>对 THz 高透 + 汇聚</t>
    <phoneticPr fontId="1" type="noConversion"/>
  </si>
  <si>
    <t>对 THz 高反 + 汇聚</t>
  </si>
  <si>
    <t>配合功率计找焦点</t>
  </si>
  <si>
    <t>/普通热敏片无法响应 mW 级</t>
  </si>
  <si>
    <t>将上转换光散射均匀化，测量光脉宽</t>
    <phoneticPr fontId="1" type="noConversion"/>
  </si>
  <si>
    <t>毛玻璃（FG）</t>
    <phoneticPr fontId="1" type="noConversion"/>
  </si>
  <si>
    <t>光电导取样（PSD）</t>
    <phoneticPr fontId="1" type="noConversion"/>
  </si>
  <si>
    <t>半波片（HWP）+ 偏分镜（PBS）</t>
  </si>
  <si>
    <t>分光镜（BS）</t>
  </si>
  <si>
    <t>前路：调节能量大小</t>
  </si>
  <si>
    <t>望远镜系统：凸 + 凹透镜（TS）</t>
  </si>
  <si>
    <t>中路：缩束、调节光斑大小</t>
  </si>
  <si>
    <t>光阑（对 THz 不透即可）（D）</t>
  </si>
  <si>
    <t>电光取样（EOS）</t>
    <phoneticPr fontId="1" type="noConversion"/>
  </si>
  <si>
    <t>尾路：分束上转换光，一部分到光谱仪，一部分到 PD</t>
  </si>
  <si>
    <t>针对 非THz 如泵浦光</t>
  </si>
  <si>
    <t>针对 非THz 如上转换光</t>
  </si>
  <si>
    <t>/基本无吸收；便于辅路调节</t>
  </si>
  <si>
    <t>针对 非THz</t>
  </si>
  <si>
    <t>高反镜组（M）</t>
  </si>
  <si>
    <t>中（10^-10~10^-9）kV/W</t>
    <phoneticPr fontId="1" type="noConversion"/>
  </si>
  <si>
    <t>&lt;10 Hz；ms</t>
    <phoneticPr fontId="1" type="noConversion"/>
  </si>
  <si>
    <t>0.75 Hz~30 kHz</t>
    <phoneticPr fontId="1" type="noConversion"/>
  </si>
  <si>
    <t>信噪比（SNR）/精度</t>
    <phoneticPr fontId="1" type="noConversion"/>
  </si>
  <si>
    <t>低 0.07</t>
    <phoneticPr fontId="1" type="noConversion"/>
  </si>
  <si>
    <t>中 15.64</t>
    <phoneticPr fontId="1" type="noConversion"/>
  </si>
  <si>
    <t>高 52.81</t>
    <phoneticPr fontId="1" type="noConversion"/>
  </si>
  <si>
    <t>尾路：分离上转换光和泵浦光</t>
  </si>
  <si>
    <t>高质量滤波器（WF）</t>
  </si>
  <si>
    <t>对称晶格振动模 + 偏分镜（PBS）</t>
  </si>
  <si>
    <t>F-P 干涉仪（FPI）</t>
  </si>
  <si>
    <t>高（3/212 μm）</t>
  </si>
  <si>
    <t>高</t>
  </si>
  <si>
    <t>快</t>
  </si>
  <si>
    <t>大</t>
  </si>
  <si>
    <t>/系统简单</t>
  </si>
  <si>
    <t>是</t>
  </si>
  <si>
    <t>多光束干涉</t>
  </si>
  <si>
    <t>迈克尔逊干涉仪（MI）</t>
  </si>
  <si>
    <t>系统复杂</t>
  </si>
  <si>
    <t>分振幅干涉</t>
  </si>
  <si>
    <t>傅里叶变换远红外（FTIR）</t>
    <phoneticPr fontId="1" type="noConversion"/>
  </si>
  <si>
    <t>时域自相关波形 → 傅里叶变换谱</t>
    <phoneticPr fontId="1" type="noConversion"/>
  </si>
  <si>
    <t>涂有 180 nm 厚的 ITO 玻璃片</t>
  </si>
  <si>
    <t>对 THz 高反 + 对近红外高透</t>
  </si>
  <si>
    <t>有 THz 损失（15%）</t>
  </si>
  <si>
    <t>THz 带通滤波器（BPF）</t>
  </si>
  <si>
    <t>筛滤出太赫兹</t>
  </si>
  <si>
    <t>太赫兹波透镜（TL 如 Si-Lens）</t>
    <phoneticPr fontId="1" type="noConversion"/>
  </si>
  <si>
    <t>离轴抛物面金属反射镜（OAP/PM）</t>
  </si>
  <si>
    <t>Si 棱镜、硅片 Si Wafer（SW）</t>
    <phoneticPr fontId="1" type="noConversion"/>
  </si>
  <si>
    <t>对 THz 低吸收增透 / 半透半反（FTIR）</t>
    <phoneticPr fontId="1" type="noConversion"/>
  </si>
  <si>
    <t>斜切块状 二阶非线性晶体（无机/有机）</t>
    <phoneticPr fontId="1" type="noConversion"/>
  </si>
  <si>
    <t>块状 二阶非线性晶体</t>
    <phoneticPr fontId="1" type="noConversion"/>
  </si>
  <si>
    <t>电或光泵浦，激发电子到导带高子能级</t>
  </si>
  <si>
    <t>电或光泵浦，激发电子到导带高子能级</t>
    <phoneticPr fontId="1" type="noConversion"/>
  </si>
  <si>
    <t>光+电</t>
  </si>
  <si>
    <t>自旋辐射源（Spin）</t>
  </si>
  <si>
    <t>1;5~15 可</t>
  </si>
  <si>
    <t>磁性纳米金属薄膜</t>
  </si>
  <si>
    <t>飞秒脉冲</t>
  </si>
  <si>
    <t>自旋光电流 → THz</t>
  </si>
  <si>
    <t>300 kV/cm</t>
  </si>
  <si>
    <t>/可同时整形</t>
  </si>
  <si>
    <t>/2017 APL</t>
  </si>
  <si>
    <t>常规加速器（CA）</t>
  </si>
  <si>
    <t>电子学</t>
  </si>
  <si>
    <t>0~∞ 可</t>
  </si>
  <si>
    <t>无谐振腔 直线 FEL</t>
  </si>
  <si>
    <t>超短 or 在太赫兹波长尺度上纵向密度调制的 相对论性自由电子束</t>
  </si>
  <si>
    <t>自放大自发辐射</t>
  </si>
  <si>
    <t>电子动能 → 光子能量</t>
  </si>
  <si>
    <t>600 μJ</t>
  </si>
  <si>
    <t>极贵</t>
  </si>
  <si>
    <t>2013 JPB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</si>
</sst>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8"/>
      <color theme="1"/>
      <name val="等线"/>
      <family val="3"/>
      <charset val="134"/>
      <scheme val="minor"/>
    </font>
    <font>
      <sz val="18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B497"/>
        <bgColor indexed="64"/>
      </patternFill>
    </fill>
    <fill>
      <patternFill patternType="solid">
        <fgColor rgb="FFCFD3CE"/>
        <bgColor indexed="64"/>
      </patternFill>
    </fill>
    <fill>
      <patternFill patternType="solid">
        <fgColor rgb="FF839B97"/>
        <bgColor indexed="64"/>
      </patternFill>
    </fill>
    <fill>
      <patternFill patternType="solid">
        <fgColor rgb="FF8DB59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/>
        <bgColor theme="8" tint="0.59999389629810485"/>
      </patternFill>
    </fill>
    <fill>
      <patternFill patternType="solid">
        <fgColor theme="8"/>
        <bgColor indexed="64"/>
      </patternFill>
    </fill>
  </fills>
  <borders count="16">
    <border>
      <left/>
      <right/>
      <top/>
      <bottom/>
      <diagonal/>
    </border>
    <border diagonalDown="1">
      <left/>
      <right/>
      <top/>
      <bottom/>
      <diagonal style="thin">
        <color auto="1"/>
      </diagonal>
    </border>
    <border>
      <left/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ashDot">
        <color indexed="64"/>
      </right>
      <top/>
      <bottom/>
      <diagonal/>
    </border>
    <border>
      <left/>
      <right style="thick">
        <color rgb="FFC0000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12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12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7" borderId="2" xfId="0" applyFill="1" applyBorder="1" applyAlignment="1" applyProtection="1">
      <alignment horizontal="center"/>
      <protection hidden="1"/>
    </xf>
    <xf numFmtId="0" fontId="0" fillId="7" borderId="4" xfId="0" applyFill="1" applyBorder="1" applyAlignment="1" applyProtection="1">
      <alignment horizontal="center"/>
      <protection hidden="1"/>
    </xf>
    <xf numFmtId="0" fontId="0" fillId="7" borderId="5" xfId="0" applyFill="1" applyBorder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alignment horizontal="left"/>
      <protection hidden="1"/>
    </xf>
    <xf numFmtId="0" fontId="0" fillId="6" borderId="0" xfId="0" applyFill="1" applyAlignment="1" applyProtection="1">
      <alignment horizontal="left"/>
      <protection hidden="1"/>
    </xf>
    <xf numFmtId="0" fontId="0" fillId="7" borderId="2" xfId="0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11" borderId="2" xfId="0" applyFill="1" applyBorder="1" applyAlignment="1" applyProtection="1">
      <alignment horizontal="center"/>
      <protection locked="0" hidden="1"/>
    </xf>
    <xf numFmtId="0" fontId="0" fillId="11" borderId="4" xfId="0" applyFill="1" applyBorder="1" applyAlignment="1" applyProtection="1">
      <alignment horizontal="center"/>
      <protection locked="0" hidden="1"/>
    </xf>
    <xf numFmtId="0" fontId="0" fillId="11" borderId="5" xfId="0" applyFill="1" applyBorder="1" applyAlignment="1" applyProtection="1">
      <alignment horizontal="center"/>
      <protection locked="0" hidden="1"/>
    </xf>
    <xf numFmtId="0" fontId="0" fillId="11" borderId="0" xfId="0" applyFill="1" applyAlignment="1" applyProtection="1">
      <alignment horizontal="center"/>
      <protection locked="0" hidden="1"/>
    </xf>
    <xf numFmtId="0" fontId="0" fillId="4" borderId="0" xfId="0" applyFill="1" applyAlignment="1" applyProtection="1">
      <alignment horizontal="center"/>
      <protection locked="0" hidden="1"/>
    </xf>
    <xf numFmtId="0" fontId="0" fillId="3" borderId="0" xfId="0" applyFill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locked="0" hidden="1"/>
    </xf>
    <xf numFmtId="0" fontId="0" fillId="2" borderId="4" xfId="0" applyFill="1" applyBorder="1" applyAlignment="1" applyProtection="1">
      <alignment horizontal="center"/>
      <protection locked="0" hidden="1"/>
    </xf>
    <xf numFmtId="0" fontId="0" fillId="2" borderId="5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0" fontId="0" fillId="17" borderId="0" xfId="0" applyFill="1" applyAlignment="1" applyProtection="1">
      <alignment horizontal="center"/>
      <protection locked="0" hidden="1"/>
    </xf>
    <xf numFmtId="0" fontId="0" fillId="18" borderId="0" xfId="0" applyFill="1" applyAlignment="1" applyProtection="1">
      <alignment horizontal="center"/>
      <protection locked="0" hidden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20" borderId="9" xfId="0" applyFont="1" applyFill="1" applyBorder="1" applyAlignment="1">
      <alignment vertical="center"/>
    </xf>
    <xf numFmtId="0" fontId="3" fillId="0" borderId="6" xfId="0" applyFont="1" applyBorder="1" applyAlignment="1">
      <alignment horizontal="left"/>
    </xf>
    <xf numFmtId="0" fontId="3" fillId="21" borderId="11" xfId="0" applyFont="1" applyFill="1" applyBorder="1" applyAlignment="1">
      <alignment horizontal="left" vertical="center"/>
    </xf>
    <xf numFmtId="0" fontId="3" fillId="20" borderId="9" xfId="0" applyFont="1" applyFill="1" applyBorder="1" applyAlignment="1">
      <alignment horizontal="left" vertical="center"/>
    </xf>
    <xf numFmtId="0" fontId="3" fillId="21" borderId="9" xfId="0" applyFont="1" applyFill="1" applyBorder="1" applyAlignment="1">
      <alignment horizontal="left" vertical="center"/>
    </xf>
    <xf numFmtId="10" fontId="3" fillId="20" borderId="9" xfId="0" applyNumberFormat="1" applyFont="1" applyFill="1" applyBorder="1" applyAlignment="1">
      <alignment horizontal="left" vertical="center"/>
    </xf>
    <xf numFmtId="9" fontId="3" fillId="21" borderId="9" xfId="0" applyNumberFormat="1" applyFont="1" applyFill="1" applyBorder="1" applyAlignment="1">
      <alignment horizontal="left" vertical="center"/>
    </xf>
    <xf numFmtId="0" fontId="4" fillId="21" borderId="9" xfId="0" applyFont="1" applyFill="1" applyBorder="1" applyAlignment="1">
      <alignment horizontal="left" vertical="center"/>
    </xf>
    <xf numFmtId="0" fontId="3" fillId="20" borderId="14" xfId="0" applyFont="1" applyFill="1" applyBorder="1" applyAlignment="1">
      <alignment horizontal="left" vertical="center"/>
    </xf>
    <xf numFmtId="0" fontId="3" fillId="21" borderId="10" xfId="0" applyFont="1" applyFill="1" applyBorder="1" applyAlignment="1">
      <alignment horizontal="left" vertical="center"/>
    </xf>
    <xf numFmtId="0" fontId="5" fillId="19" borderId="6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left" vertical="center"/>
    </xf>
    <xf numFmtId="0" fontId="5" fillId="19" borderId="7" xfId="0" applyFont="1" applyFill="1" applyBorder="1" applyAlignment="1">
      <alignment horizontal="left" vertical="center"/>
    </xf>
    <xf numFmtId="0" fontId="5" fillId="19" borderId="0" xfId="0" applyFont="1" applyFill="1" applyAlignment="1">
      <alignment horizontal="left" vertical="center"/>
    </xf>
    <xf numFmtId="0" fontId="0" fillId="10" borderId="3" xfId="0" applyFill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6" borderId="0" xfId="0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8" borderId="2" xfId="0" applyFill="1" applyBorder="1" applyAlignment="1" applyProtection="1">
      <alignment horizontal="center"/>
      <protection hidden="1"/>
    </xf>
    <xf numFmtId="0" fontId="0" fillId="16" borderId="4" xfId="0" applyFill="1" applyBorder="1" applyAlignment="1" applyProtection="1">
      <alignment horizontal="center"/>
      <protection hidden="1"/>
    </xf>
    <xf numFmtId="0" fontId="0" fillId="13" borderId="0" xfId="0" applyFill="1" applyAlignment="1" applyProtection="1">
      <alignment horizontal="center"/>
      <protection hidden="1"/>
    </xf>
    <xf numFmtId="0" fontId="0" fillId="13" borderId="2" xfId="0" applyFill="1" applyBorder="1" applyAlignment="1" applyProtection="1">
      <alignment horizontal="center"/>
      <protection hidden="1"/>
    </xf>
    <xf numFmtId="0" fontId="0" fillId="15" borderId="0" xfId="0" applyFill="1" applyAlignment="1" applyProtection="1">
      <alignment horizontal="center"/>
      <protection hidden="1"/>
    </xf>
    <xf numFmtId="0" fontId="0" fillId="15" borderId="4" xfId="0" applyFill="1" applyBorder="1" applyAlignment="1" applyProtection="1">
      <alignment horizontal="center"/>
      <protection hidden="1"/>
    </xf>
    <xf numFmtId="0" fontId="0" fillId="15" borderId="2" xfId="0" applyFill="1" applyBorder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0" fillId="9" borderId="2" xfId="0" applyFill="1" applyBorder="1" applyAlignment="1" applyProtection="1">
      <alignment horizontal="center"/>
      <protection hidden="1"/>
    </xf>
    <xf numFmtId="0" fontId="0" fillId="8" borderId="4" xfId="0" applyFill="1" applyBorder="1" applyAlignment="1" applyProtection="1">
      <alignment horizontal="center"/>
      <protection hidden="1"/>
    </xf>
    <xf numFmtId="0" fontId="0" fillId="14" borderId="0" xfId="0" applyFill="1" applyAlignment="1" applyProtection="1">
      <alignment horizontal="center"/>
      <protection hidden="1"/>
    </xf>
    <xf numFmtId="0" fontId="0" fillId="14" borderId="5" xfId="0" applyFill="1" applyBorder="1" applyAlignment="1" applyProtection="1">
      <alignment horizontal="center"/>
      <protection hidden="1"/>
    </xf>
    <xf numFmtId="0" fontId="2" fillId="16" borderId="0" xfId="0" applyFont="1" applyFill="1" applyAlignment="1" applyProtection="1">
      <alignment horizontal="center"/>
      <protection hidden="1"/>
    </xf>
    <xf numFmtId="0" fontId="2" fillId="16" borderId="4" xfId="0" applyFont="1" applyFill="1" applyBorder="1" applyAlignment="1" applyProtection="1">
      <alignment horizontal="center"/>
      <protection hidden="1"/>
    </xf>
    <xf numFmtId="0" fontId="0" fillId="12" borderId="0" xfId="0" applyFill="1" applyAlignment="1" applyProtection="1">
      <alignment horizontal="left"/>
      <protection hidden="1"/>
    </xf>
    <xf numFmtId="0" fontId="3" fillId="0" borderId="8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22" borderId="12" xfId="0" applyFont="1" applyFill="1" applyBorder="1" applyAlignment="1">
      <alignment horizontal="center" vertical="center"/>
    </xf>
    <xf numFmtId="0" fontId="5" fillId="22" borderId="13" xfId="0" applyFont="1" applyFill="1" applyBorder="1" applyAlignment="1">
      <alignment horizontal="center" vertical="center"/>
    </xf>
    <xf numFmtId="0" fontId="5" fillId="22" borderId="6" xfId="0" applyFont="1" applyFill="1" applyBorder="1" applyAlignment="1">
      <alignment horizontal="center" vertical="center"/>
    </xf>
    <xf numFmtId="0" fontId="5" fillId="23" borderId="8" xfId="0" applyFont="1" applyFill="1" applyBorder="1" applyAlignment="1">
      <alignment horizontal="center" vertical="center"/>
    </xf>
    <xf numFmtId="0" fontId="5" fillId="23" borderId="15" xfId="0" applyFont="1" applyFill="1" applyBorder="1" applyAlignment="1">
      <alignment horizontal="center" vertical="center"/>
    </xf>
    <xf numFmtId="0" fontId="5" fillId="23" borderId="6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F5F80"/>
      <color rgb="FFC6B497"/>
      <color rgb="FFA07676"/>
      <color rgb="FF839B97"/>
      <color rgb="FF8DB596"/>
      <color rgb="FFCFD3CE"/>
      <color rgb="FF7C98A2"/>
      <color rgb="FF7BA390"/>
      <color rgb="FF7AA49A"/>
      <color rgb="FFF8F7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9"/>
  <sheetViews>
    <sheetView tabSelected="1" zoomScaleNormal="100" workbookViewId="0">
      <selection activeCell="E25" sqref="E25"/>
    </sheetView>
  </sheetViews>
  <sheetFormatPr defaultColWidth="8.08203125" defaultRowHeight="14"/>
  <cols>
    <col min="1" max="25" width="8.08203125" style="13"/>
    <col min="26" max="16384" width="8.08203125" style="2"/>
  </cols>
  <sheetData>
    <row r="1" spans="1:28">
      <c r="A1" s="1"/>
      <c r="B1" s="63" t="s">
        <v>63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</row>
    <row r="2" spans="1:28">
      <c r="A2" s="3" t="s">
        <v>7</v>
      </c>
      <c r="B2" s="51" t="s">
        <v>6</v>
      </c>
      <c r="C2" s="51"/>
      <c r="D2" s="52"/>
      <c r="E2" s="53" t="s">
        <v>0</v>
      </c>
      <c r="F2" s="53"/>
      <c r="G2" s="54"/>
      <c r="H2" s="53" t="s">
        <v>1</v>
      </c>
      <c r="I2" s="53"/>
      <c r="J2" s="55"/>
      <c r="K2" s="59" t="s">
        <v>73</v>
      </c>
      <c r="L2" s="59"/>
      <c r="M2" s="60"/>
      <c r="N2" s="56" t="s">
        <v>70</v>
      </c>
      <c r="O2" s="56"/>
      <c r="P2" s="57"/>
      <c r="Q2" s="48" t="s">
        <v>71</v>
      </c>
      <c r="R2" s="48"/>
      <c r="S2" s="58"/>
      <c r="T2" s="48" t="s">
        <v>67</v>
      </c>
      <c r="U2" s="48"/>
      <c r="V2" s="49"/>
      <c r="W2" s="61" t="s">
        <v>69</v>
      </c>
      <c r="X2" s="61"/>
      <c r="Y2" s="62"/>
      <c r="Z2" s="47" t="s">
        <v>72</v>
      </c>
      <c r="AA2" s="47"/>
      <c r="AB2" s="47"/>
    </row>
    <row r="3" spans="1:28">
      <c r="A3" s="3" t="s">
        <v>51</v>
      </c>
      <c r="B3" s="51" t="s">
        <v>13</v>
      </c>
      <c r="C3" s="51"/>
      <c r="D3" s="52"/>
      <c r="E3" s="53" t="s">
        <v>14</v>
      </c>
      <c r="F3" s="53"/>
      <c r="G3" s="54"/>
      <c r="H3" s="53" t="s">
        <v>17</v>
      </c>
      <c r="I3" s="53"/>
      <c r="J3" s="55"/>
      <c r="K3" s="59" t="s">
        <v>75</v>
      </c>
      <c r="L3" s="59"/>
      <c r="M3" s="60"/>
      <c r="N3" s="56" t="s">
        <v>20</v>
      </c>
      <c r="O3" s="56"/>
      <c r="P3" s="57"/>
      <c r="Q3" s="48" t="s">
        <v>31</v>
      </c>
      <c r="R3" s="48"/>
      <c r="S3" s="58"/>
      <c r="T3" s="48" t="s">
        <v>66</v>
      </c>
      <c r="U3" s="48"/>
      <c r="V3" s="49"/>
      <c r="W3" s="61" t="s">
        <v>74</v>
      </c>
      <c r="X3" s="61"/>
      <c r="Y3" s="62"/>
      <c r="Z3" s="47" t="s">
        <v>44</v>
      </c>
      <c r="AA3" s="47"/>
      <c r="AB3" s="47"/>
    </row>
    <row r="4" spans="1:28">
      <c r="A4" s="3" t="s">
        <v>52</v>
      </c>
      <c r="B4" s="4" t="s">
        <v>9</v>
      </c>
      <c r="C4" s="5" t="s">
        <v>11</v>
      </c>
      <c r="D4" s="6" t="s">
        <v>12</v>
      </c>
      <c r="E4" s="4" t="s">
        <v>15</v>
      </c>
      <c r="F4" s="5" t="s">
        <v>18</v>
      </c>
      <c r="G4" s="7">
        <v>0.1</v>
      </c>
      <c r="H4" s="4" t="s">
        <v>16</v>
      </c>
      <c r="I4" s="5" t="s">
        <v>10</v>
      </c>
      <c r="J4" s="6">
        <v>1</v>
      </c>
      <c r="K4" s="4">
        <v>1</v>
      </c>
      <c r="L4" s="5" t="s">
        <v>12</v>
      </c>
      <c r="M4" s="8" t="s">
        <v>11</v>
      </c>
      <c r="N4" s="4" t="s">
        <v>28</v>
      </c>
      <c r="O4" s="5" t="s">
        <v>26</v>
      </c>
      <c r="P4" s="6" t="s">
        <v>27</v>
      </c>
      <c r="Q4" s="4" t="s">
        <v>25</v>
      </c>
      <c r="R4" s="5" t="s">
        <v>33</v>
      </c>
      <c r="S4" s="7" t="s">
        <v>34</v>
      </c>
      <c r="T4" s="4" t="s">
        <v>37</v>
      </c>
      <c r="U4" s="5" t="s">
        <v>38</v>
      </c>
      <c r="V4" s="6" t="s">
        <v>39</v>
      </c>
      <c r="W4" s="4">
        <v>1</v>
      </c>
      <c r="X4" s="5" t="s">
        <v>12</v>
      </c>
      <c r="Y4" s="7" t="s">
        <v>11</v>
      </c>
      <c r="Z4" s="4" t="s">
        <v>45</v>
      </c>
      <c r="AA4" s="5">
        <v>10</v>
      </c>
      <c r="AB4" s="9" t="s">
        <v>46</v>
      </c>
    </row>
    <row r="5" spans="1:28">
      <c r="A5" s="3" t="s">
        <v>53</v>
      </c>
      <c r="B5" s="4" t="s">
        <v>5</v>
      </c>
      <c r="C5" s="5" t="s">
        <v>2</v>
      </c>
      <c r="D5" s="6" t="s">
        <v>4</v>
      </c>
      <c r="E5" s="4" t="s">
        <v>8</v>
      </c>
      <c r="F5" s="5" t="s">
        <v>3</v>
      </c>
      <c r="G5" s="7" t="s">
        <v>19</v>
      </c>
      <c r="H5" s="4" t="s">
        <v>21</v>
      </c>
      <c r="I5" s="5" t="s">
        <v>22</v>
      </c>
      <c r="J5" s="6" t="s">
        <v>23</v>
      </c>
      <c r="K5" s="4" t="s">
        <v>80</v>
      </c>
      <c r="L5" s="5" t="s">
        <v>82</v>
      </c>
      <c r="M5" s="8" t="s">
        <v>81</v>
      </c>
      <c r="N5" s="4" t="s">
        <v>29</v>
      </c>
      <c r="O5" s="5" t="s">
        <v>24</v>
      </c>
      <c r="P5" s="6" t="s">
        <v>30</v>
      </c>
      <c r="Q5" s="4" t="s">
        <v>35</v>
      </c>
      <c r="R5" s="5" t="s">
        <v>32</v>
      </c>
      <c r="S5" s="7" t="s">
        <v>36</v>
      </c>
      <c r="T5" s="10" t="s">
        <v>42</v>
      </c>
      <c r="U5" s="11" t="s">
        <v>40</v>
      </c>
      <c r="V5" s="12" t="s">
        <v>41</v>
      </c>
      <c r="W5" s="4" t="s">
        <v>141</v>
      </c>
      <c r="X5" s="5" t="s">
        <v>150</v>
      </c>
      <c r="Y5" s="7" t="s">
        <v>151</v>
      </c>
      <c r="Z5" s="4" t="s">
        <v>47</v>
      </c>
      <c r="AA5" s="5" t="s">
        <v>48</v>
      </c>
      <c r="AB5" s="9" t="s">
        <v>49</v>
      </c>
    </row>
    <row r="6" spans="1:28">
      <c r="A6" s="3" t="s">
        <v>50</v>
      </c>
      <c r="B6" s="27">
        <v>119916.8</v>
      </c>
      <c r="C6" s="28">
        <v>119.91680000000001</v>
      </c>
      <c r="D6" s="14">
        <v>0.1199168</v>
      </c>
      <c r="E6" s="27">
        <v>8.3391151198164065E-2</v>
      </c>
      <c r="F6" s="28">
        <v>83.391151198164067</v>
      </c>
      <c r="G6" s="15">
        <v>83391.151198164065</v>
      </c>
      <c r="H6" s="27">
        <v>5.239620559570958E-2</v>
      </c>
      <c r="I6" s="28">
        <v>52.396205595709581</v>
      </c>
      <c r="J6" s="14">
        <v>52396.20559570958</v>
      </c>
      <c r="K6" s="27">
        <v>1.0339168575000002E-2</v>
      </c>
      <c r="L6" s="28">
        <v>10.339168575000002</v>
      </c>
      <c r="M6" s="16">
        <v>10339.168575</v>
      </c>
      <c r="N6" s="27">
        <v>400000</v>
      </c>
      <c r="O6" s="28">
        <v>400</v>
      </c>
      <c r="P6" s="14">
        <v>0.4</v>
      </c>
      <c r="Q6" s="27">
        <v>2.5000000000000001E-3</v>
      </c>
      <c r="R6" s="28">
        <v>2.5</v>
      </c>
      <c r="S6" s="15">
        <v>2500</v>
      </c>
      <c r="T6" s="27">
        <v>1.5707963267948967E-3</v>
      </c>
      <c r="U6" s="28">
        <v>1.5707963267948966</v>
      </c>
      <c r="V6" s="14">
        <v>1570.7963267948965</v>
      </c>
      <c r="W6" s="27">
        <v>1.0339168575E-2</v>
      </c>
      <c r="X6" s="28">
        <v>10.339168574999999</v>
      </c>
      <c r="Y6" s="15">
        <v>10339.168575</v>
      </c>
      <c r="Z6" s="27">
        <v>1.1998093350815905E-2</v>
      </c>
      <c r="AA6" s="28">
        <v>11.998093350815907</v>
      </c>
      <c r="AB6" s="17">
        <v>11998.093350815905</v>
      </c>
    </row>
    <row r="7" spans="1:28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</row>
    <row r="8" spans="1:28">
      <c r="A8" s="1"/>
      <c r="B8" s="63" t="s">
        <v>64</v>
      </c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</row>
    <row r="9" spans="1:28">
      <c r="A9" s="3" t="s">
        <v>7</v>
      </c>
      <c r="B9" s="51" t="s">
        <v>6</v>
      </c>
      <c r="C9" s="51"/>
      <c r="D9" s="52"/>
      <c r="E9" s="53" t="s">
        <v>0</v>
      </c>
      <c r="F9" s="53"/>
      <c r="G9" s="54"/>
      <c r="H9" s="53" t="s">
        <v>1</v>
      </c>
      <c r="I9" s="53"/>
      <c r="J9" s="55"/>
      <c r="K9" s="59" t="s">
        <v>73</v>
      </c>
      <c r="L9" s="59"/>
      <c r="M9" s="60"/>
      <c r="N9" s="56" t="s">
        <v>70</v>
      </c>
      <c r="O9" s="56"/>
      <c r="P9" s="57"/>
      <c r="Q9" s="48" t="s">
        <v>71</v>
      </c>
      <c r="R9" s="48"/>
      <c r="S9" s="58"/>
      <c r="T9" s="48" t="s">
        <v>67</v>
      </c>
      <c r="U9" s="48"/>
      <c r="V9" s="49"/>
      <c r="W9" s="61" t="s">
        <v>69</v>
      </c>
      <c r="X9" s="61"/>
      <c r="Y9" s="62"/>
      <c r="Z9" s="47" t="s">
        <v>72</v>
      </c>
      <c r="AA9" s="47"/>
      <c r="AB9" s="47"/>
    </row>
    <row r="10" spans="1:28">
      <c r="A10" s="3" t="s">
        <v>51</v>
      </c>
      <c r="B10" s="51" t="s">
        <v>13</v>
      </c>
      <c r="C10" s="51"/>
      <c r="D10" s="52"/>
      <c r="E10" s="53" t="s">
        <v>14</v>
      </c>
      <c r="F10" s="53"/>
      <c r="G10" s="54"/>
      <c r="H10" s="53" t="s">
        <v>17</v>
      </c>
      <c r="I10" s="53"/>
      <c r="J10" s="55"/>
      <c r="K10" s="59" t="s">
        <v>75</v>
      </c>
      <c r="L10" s="59"/>
      <c r="M10" s="60"/>
      <c r="N10" s="56" t="s">
        <v>20</v>
      </c>
      <c r="O10" s="56"/>
      <c r="P10" s="57"/>
      <c r="Q10" s="48" t="s">
        <v>31</v>
      </c>
      <c r="R10" s="48"/>
      <c r="S10" s="58"/>
      <c r="T10" s="48" t="s">
        <v>66</v>
      </c>
      <c r="U10" s="48"/>
      <c r="V10" s="49"/>
      <c r="W10" s="47" t="s">
        <v>74</v>
      </c>
      <c r="X10" s="47"/>
      <c r="Y10" s="50"/>
      <c r="Z10" s="47" t="s">
        <v>44</v>
      </c>
      <c r="AA10" s="47"/>
      <c r="AB10" s="47"/>
    </row>
    <row r="11" spans="1:28">
      <c r="A11" s="3" t="s">
        <v>52</v>
      </c>
      <c r="B11" s="4" t="s">
        <v>9</v>
      </c>
      <c r="C11" s="5" t="s">
        <v>11</v>
      </c>
      <c r="D11" s="6" t="s">
        <v>12</v>
      </c>
      <c r="E11" s="4" t="s">
        <v>15</v>
      </c>
      <c r="F11" s="5" t="s">
        <v>18</v>
      </c>
      <c r="G11" s="7">
        <v>0.1</v>
      </c>
      <c r="H11" s="4" t="s">
        <v>16</v>
      </c>
      <c r="I11" s="5" t="s">
        <v>10</v>
      </c>
      <c r="J11" s="6">
        <v>1</v>
      </c>
      <c r="K11" s="4">
        <v>1</v>
      </c>
      <c r="L11" s="5" t="s">
        <v>12</v>
      </c>
      <c r="M11" s="8" t="s">
        <v>11</v>
      </c>
      <c r="N11" s="4" t="s">
        <v>28</v>
      </c>
      <c r="O11" s="5" t="s">
        <v>26</v>
      </c>
      <c r="P11" s="6" t="s">
        <v>27</v>
      </c>
      <c r="Q11" s="4" t="s">
        <v>25</v>
      </c>
      <c r="R11" s="5" t="s">
        <v>33</v>
      </c>
      <c r="S11" s="7" t="s">
        <v>34</v>
      </c>
      <c r="T11" s="4" t="s">
        <v>37</v>
      </c>
      <c r="U11" s="5" t="s">
        <v>38</v>
      </c>
      <c r="V11" s="6" t="s">
        <v>39</v>
      </c>
      <c r="W11" s="4">
        <v>1</v>
      </c>
      <c r="X11" s="5" t="s">
        <v>12</v>
      </c>
      <c r="Y11" s="7" t="s">
        <v>11</v>
      </c>
      <c r="Z11" s="4" t="s">
        <v>45</v>
      </c>
      <c r="AA11" s="5">
        <v>10</v>
      </c>
      <c r="AB11" s="9" t="s">
        <v>46</v>
      </c>
    </row>
    <row r="12" spans="1:28">
      <c r="A12" s="3" t="s">
        <v>53</v>
      </c>
      <c r="B12" s="4" t="s">
        <v>5</v>
      </c>
      <c r="C12" s="5" t="s">
        <v>2</v>
      </c>
      <c r="D12" s="6" t="s">
        <v>4</v>
      </c>
      <c r="E12" s="4" t="s">
        <v>8</v>
      </c>
      <c r="F12" s="5" t="s">
        <v>3</v>
      </c>
      <c r="G12" s="7" t="s">
        <v>19</v>
      </c>
      <c r="H12" s="4" t="s">
        <v>21</v>
      </c>
      <c r="I12" s="5" t="s">
        <v>22</v>
      </c>
      <c r="J12" s="6" t="s">
        <v>23</v>
      </c>
      <c r="K12" s="4" t="s">
        <v>80</v>
      </c>
      <c r="L12" s="5" t="s">
        <v>82</v>
      </c>
      <c r="M12" s="8" t="s">
        <v>81</v>
      </c>
      <c r="N12" s="4" t="s">
        <v>29</v>
      </c>
      <c r="O12" s="5" t="s">
        <v>24</v>
      </c>
      <c r="P12" s="6" t="s">
        <v>30</v>
      </c>
      <c r="Q12" s="4" t="s">
        <v>35</v>
      </c>
      <c r="R12" s="5" t="s">
        <v>32</v>
      </c>
      <c r="S12" s="7" t="s">
        <v>36</v>
      </c>
      <c r="T12" s="10" t="s">
        <v>77</v>
      </c>
      <c r="U12" s="11" t="s">
        <v>78</v>
      </c>
      <c r="V12" s="12" t="s">
        <v>79</v>
      </c>
      <c r="W12" s="4" t="s">
        <v>141</v>
      </c>
      <c r="X12" s="5" t="s">
        <v>150</v>
      </c>
      <c r="Y12" s="7" t="s">
        <v>151</v>
      </c>
      <c r="Z12" s="4" t="s">
        <v>76</v>
      </c>
      <c r="AA12" s="5" t="s">
        <v>48</v>
      </c>
      <c r="AB12" s="9" t="s">
        <v>49</v>
      </c>
    </row>
    <row r="13" spans="1:28">
      <c r="A13" s="3" t="s">
        <v>50</v>
      </c>
      <c r="B13" s="27">
        <v>119916.8</v>
      </c>
      <c r="C13" s="28">
        <v>119.91680000000001</v>
      </c>
      <c r="D13" s="14">
        <v>0.1199168</v>
      </c>
      <c r="E13" s="27">
        <v>8.3391151198164065E-2</v>
      </c>
      <c r="F13" s="28">
        <v>83.391151198164067</v>
      </c>
      <c r="G13" s="15">
        <v>83391.151198164065</v>
      </c>
      <c r="H13" s="27">
        <v>5.239620559570958E-2</v>
      </c>
      <c r="I13" s="28">
        <v>52.396205595709581</v>
      </c>
      <c r="J13" s="14">
        <v>52396.20559570958</v>
      </c>
      <c r="K13" s="27">
        <v>1.0339168575000002E-2</v>
      </c>
      <c r="L13" s="28">
        <v>10.339168575000002</v>
      </c>
      <c r="M13" s="16">
        <v>10339.168575</v>
      </c>
      <c r="N13" s="27">
        <v>400000</v>
      </c>
      <c r="O13" s="28">
        <v>400</v>
      </c>
      <c r="P13" s="14">
        <v>0.4</v>
      </c>
      <c r="Q13" s="27">
        <v>2.5000000000000001E-3</v>
      </c>
      <c r="R13" s="28">
        <v>2.5</v>
      </c>
      <c r="S13" s="15">
        <v>2500</v>
      </c>
      <c r="T13" s="27">
        <v>1.5707963267948967E-3</v>
      </c>
      <c r="U13" s="28">
        <v>1.5707963267948966</v>
      </c>
      <c r="V13" s="14">
        <v>1570.7963267948965</v>
      </c>
      <c r="W13" s="27">
        <v>1.0339168575E-2</v>
      </c>
      <c r="X13" s="28">
        <v>10.339168574999999</v>
      </c>
      <c r="Y13" s="15">
        <v>10339.168575</v>
      </c>
      <c r="Z13" s="27">
        <v>1.1998093350815905E-2</v>
      </c>
      <c r="AA13" s="28">
        <v>11.998093350815907</v>
      </c>
      <c r="AB13" s="17">
        <v>11998.093350815905</v>
      </c>
    </row>
    <row r="14" spans="1:28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</row>
    <row r="15" spans="1:28">
      <c r="A15" s="1"/>
      <c r="B15" s="63" t="s">
        <v>65</v>
      </c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</row>
    <row r="16" spans="1:28">
      <c r="A16" s="3" t="s">
        <v>7</v>
      </c>
      <c r="B16" s="51" t="s">
        <v>6</v>
      </c>
      <c r="C16" s="51"/>
      <c r="D16" s="52"/>
      <c r="E16" s="53" t="s">
        <v>0</v>
      </c>
      <c r="F16" s="53"/>
      <c r="G16" s="54"/>
      <c r="H16" s="53" t="s">
        <v>1</v>
      </c>
      <c r="I16" s="53"/>
      <c r="J16" s="55"/>
      <c r="K16" s="59" t="s">
        <v>73</v>
      </c>
      <c r="L16" s="59"/>
      <c r="M16" s="60"/>
      <c r="N16" s="56" t="s">
        <v>70</v>
      </c>
      <c r="O16" s="56"/>
      <c r="P16" s="57"/>
      <c r="Q16" s="48" t="s">
        <v>71</v>
      </c>
      <c r="R16" s="48"/>
      <c r="S16" s="58"/>
      <c r="T16" s="48" t="s">
        <v>67</v>
      </c>
      <c r="U16" s="48"/>
      <c r="V16" s="49"/>
      <c r="W16" s="61" t="s">
        <v>69</v>
      </c>
      <c r="X16" s="61"/>
      <c r="Y16" s="62"/>
      <c r="Z16" s="47" t="s">
        <v>72</v>
      </c>
      <c r="AA16" s="47"/>
      <c r="AB16" s="47"/>
    </row>
    <row r="17" spans="1:28">
      <c r="A17" s="3" t="s">
        <v>51</v>
      </c>
      <c r="B17" s="51" t="s">
        <v>13</v>
      </c>
      <c r="C17" s="51"/>
      <c r="D17" s="52"/>
      <c r="E17" s="53" t="s">
        <v>14</v>
      </c>
      <c r="F17" s="53"/>
      <c r="G17" s="54"/>
      <c r="H17" s="53" t="s">
        <v>17</v>
      </c>
      <c r="I17" s="53"/>
      <c r="J17" s="55"/>
      <c r="K17" s="59" t="s">
        <v>75</v>
      </c>
      <c r="L17" s="59"/>
      <c r="M17" s="60"/>
      <c r="N17" s="56" t="s">
        <v>20</v>
      </c>
      <c r="O17" s="56"/>
      <c r="P17" s="57"/>
      <c r="Q17" s="48" t="s">
        <v>31</v>
      </c>
      <c r="R17" s="48"/>
      <c r="S17" s="58"/>
      <c r="T17" s="48" t="s">
        <v>66</v>
      </c>
      <c r="U17" s="48"/>
      <c r="V17" s="49"/>
      <c r="W17" s="47" t="s">
        <v>74</v>
      </c>
      <c r="X17" s="47"/>
      <c r="Y17" s="50"/>
      <c r="Z17" s="47" t="s">
        <v>44</v>
      </c>
      <c r="AA17" s="47"/>
      <c r="AB17" s="47"/>
    </row>
    <row r="18" spans="1:28">
      <c r="A18" s="3" t="s">
        <v>52</v>
      </c>
      <c r="B18" s="4" t="s">
        <v>9</v>
      </c>
      <c r="C18" s="5" t="s">
        <v>11</v>
      </c>
      <c r="D18" s="6" t="s">
        <v>12</v>
      </c>
      <c r="E18" s="4" t="s">
        <v>16</v>
      </c>
      <c r="F18" s="5" t="s">
        <v>10</v>
      </c>
      <c r="G18" s="7">
        <v>1</v>
      </c>
      <c r="H18" s="4" t="s">
        <v>16</v>
      </c>
      <c r="I18" s="5" t="s">
        <v>10</v>
      </c>
      <c r="J18" s="6">
        <v>1</v>
      </c>
      <c r="K18" s="4">
        <v>1</v>
      </c>
      <c r="L18" s="5" t="s">
        <v>12</v>
      </c>
      <c r="M18" s="8" t="s">
        <v>11</v>
      </c>
      <c r="N18" s="4" t="s">
        <v>28</v>
      </c>
      <c r="O18" s="5" t="s">
        <v>26</v>
      </c>
      <c r="P18" s="6" t="s">
        <v>27</v>
      </c>
      <c r="Q18" s="4" t="s">
        <v>25</v>
      </c>
      <c r="R18" s="5" t="s">
        <v>33</v>
      </c>
      <c r="S18" s="7" t="s">
        <v>34</v>
      </c>
      <c r="T18" s="4" t="s">
        <v>25</v>
      </c>
      <c r="U18" s="5" t="s">
        <v>33</v>
      </c>
      <c r="V18" s="6" t="s">
        <v>34</v>
      </c>
      <c r="W18" s="4">
        <v>1</v>
      </c>
      <c r="X18" s="5" t="s">
        <v>12</v>
      </c>
      <c r="Y18" s="7" t="s">
        <v>11</v>
      </c>
      <c r="Z18" s="4" t="s">
        <v>10</v>
      </c>
      <c r="AA18" s="5">
        <v>1</v>
      </c>
      <c r="AB18" s="9" t="s">
        <v>12</v>
      </c>
    </row>
    <row r="19" spans="1:28">
      <c r="A19" s="3" t="s">
        <v>53</v>
      </c>
      <c r="B19" s="4" t="s">
        <v>5</v>
      </c>
      <c r="C19" s="5" t="s">
        <v>2</v>
      </c>
      <c r="D19" s="6" t="s">
        <v>4</v>
      </c>
      <c r="E19" s="4" t="s">
        <v>62</v>
      </c>
      <c r="F19" s="5" t="s">
        <v>61</v>
      </c>
      <c r="G19" s="7" t="s">
        <v>60</v>
      </c>
      <c r="H19" s="4" t="s">
        <v>21</v>
      </c>
      <c r="I19" s="5" t="s">
        <v>22</v>
      </c>
      <c r="J19" s="6" t="s">
        <v>23</v>
      </c>
      <c r="K19" s="4" t="s">
        <v>80</v>
      </c>
      <c r="L19" s="5" t="s">
        <v>82</v>
      </c>
      <c r="M19" s="8" t="s">
        <v>81</v>
      </c>
      <c r="N19" s="4" t="s">
        <v>29</v>
      </c>
      <c r="O19" s="5" t="s">
        <v>24</v>
      </c>
      <c r="P19" s="6" t="s">
        <v>30</v>
      </c>
      <c r="Q19" s="4" t="s">
        <v>35</v>
      </c>
      <c r="R19" s="5" t="s">
        <v>32</v>
      </c>
      <c r="S19" s="7" t="s">
        <v>36</v>
      </c>
      <c r="T19" s="4" t="s">
        <v>54</v>
      </c>
      <c r="U19" s="5" t="s">
        <v>55</v>
      </c>
      <c r="V19" s="6" t="s">
        <v>56</v>
      </c>
      <c r="W19" s="4" t="s">
        <v>141</v>
      </c>
      <c r="X19" s="5" t="s">
        <v>150</v>
      </c>
      <c r="Y19" s="7" t="s">
        <v>151</v>
      </c>
      <c r="Z19" s="4" t="s">
        <v>57</v>
      </c>
      <c r="AA19" s="5" t="s">
        <v>58</v>
      </c>
      <c r="AB19" s="9" t="s">
        <v>59</v>
      </c>
    </row>
    <row r="20" spans="1:28">
      <c r="A20" s="3" t="s">
        <v>50</v>
      </c>
      <c r="B20" s="27">
        <v>119916.8</v>
      </c>
      <c r="C20" s="28">
        <v>119.91680000000001</v>
      </c>
      <c r="D20" s="14">
        <v>0.1199168</v>
      </c>
      <c r="E20" s="27">
        <v>8.3391151198164062E-3</v>
      </c>
      <c r="F20" s="28">
        <v>8.3391151198164071</v>
      </c>
      <c r="G20" s="15">
        <v>8339.1151198164061</v>
      </c>
      <c r="H20" s="27">
        <v>5.239620559570958E-2</v>
      </c>
      <c r="I20" s="28">
        <v>52.396205595709581</v>
      </c>
      <c r="J20" s="14">
        <v>52396.20559570958</v>
      </c>
      <c r="K20" s="27">
        <v>1.0339168575000002E-2</v>
      </c>
      <c r="L20" s="28">
        <v>10.339168575000002</v>
      </c>
      <c r="M20" s="16">
        <v>10339.168575</v>
      </c>
      <c r="N20" s="27">
        <v>400000</v>
      </c>
      <c r="O20" s="28">
        <v>400</v>
      </c>
      <c r="P20" s="14">
        <v>0.4</v>
      </c>
      <c r="Q20" s="27">
        <v>2.5000000000000001E-3</v>
      </c>
      <c r="R20" s="28">
        <v>2.5</v>
      </c>
      <c r="S20" s="15">
        <v>2500</v>
      </c>
      <c r="T20" s="27">
        <v>1.5707963267948967E-2</v>
      </c>
      <c r="U20" s="28">
        <v>15.707963267948966</v>
      </c>
      <c r="V20" s="14">
        <v>15707.963267948964</v>
      </c>
      <c r="W20" s="27">
        <v>1.0339168575E-2</v>
      </c>
      <c r="X20" s="28">
        <v>10.339168574999999</v>
      </c>
      <c r="Y20" s="15">
        <v>10339.168575</v>
      </c>
      <c r="Z20" s="27">
        <v>0.11998093350815905</v>
      </c>
      <c r="AA20" s="28">
        <v>119.98093350815907</v>
      </c>
      <c r="AB20" s="17">
        <v>119980.93350815905</v>
      </c>
    </row>
    <row r="21" spans="1:28">
      <c r="A21" s="45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</row>
    <row r="22" spans="1:28">
      <c r="A22" s="3" t="s">
        <v>68</v>
      </c>
      <c r="B22" s="4" t="s">
        <v>5</v>
      </c>
      <c r="C22" s="5" t="s">
        <v>2</v>
      </c>
      <c r="D22" s="6" t="s">
        <v>4</v>
      </c>
      <c r="E22" s="4" t="s">
        <v>8</v>
      </c>
      <c r="F22" s="5" t="s">
        <v>3</v>
      </c>
      <c r="G22" s="7" t="s">
        <v>19</v>
      </c>
      <c r="H22" s="4" t="s">
        <v>21</v>
      </c>
      <c r="I22" s="5" t="s">
        <v>22</v>
      </c>
      <c r="J22" s="6" t="s">
        <v>23</v>
      </c>
      <c r="K22" s="4" t="s">
        <v>80</v>
      </c>
      <c r="L22" s="5" t="s">
        <v>82</v>
      </c>
      <c r="M22" s="8" t="s">
        <v>81</v>
      </c>
      <c r="N22" s="4" t="s">
        <v>29</v>
      </c>
      <c r="O22" s="5" t="s">
        <v>24</v>
      </c>
      <c r="P22" s="6" t="s">
        <v>30</v>
      </c>
      <c r="Q22" s="4" t="s">
        <v>35</v>
      </c>
      <c r="R22" s="5" t="s">
        <v>32</v>
      </c>
      <c r="S22" s="7" t="s">
        <v>36</v>
      </c>
      <c r="T22" s="10" t="s">
        <v>42</v>
      </c>
      <c r="U22" s="11" t="s">
        <v>40</v>
      </c>
      <c r="V22" s="12" t="s">
        <v>41</v>
      </c>
      <c r="W22" s="4" t="s">
        <v>141</v>
      </c>
      <c r="X22" s="5" t="s">
        <v>150</v>
      </c>
      <c r="Y22" s="7" t="s">
        <v>151</v>
      </c>
      <c r="Z22" s="4" t="s">
        <v>47</v>
      </c>
      <c r="AA22" s="5" t="s">
        <v>48</v>
      </c>
      <c r="AB22" s="9" t="s">
        <v>49</v>
      </c>
    </row>
    <row r="23" spans="1:28">
      <c r="A23" s="3">
        <v>1</v>
      </c>
      <c r="B23" s="18">
        <v>780</v>
      </c>
      <c r="C23" s="5">
        <f>B23/1000</f>
        <v>0.78</v>
      </c>
      <c r="D23" s="6">
        <f>C23/1000</f>
        <v>7.7999999999999999E-4</v>
      </c>
      <c r="E23" s="4">
        <f>IF(ISERROR(1/C23)=FALSE,1/C23*POWER(10,6-5),"∞")</f>
        <v>12.820512820512819</v>
      </c>
      <c r="F23" s="5">
        <f>IF(ISERROR(1/C23)=FALSE,1/C23*POWER(10,6-2),"∞")</f>
        <v>12820.512820512819</v>
      </c>
      <c r="G23" s="7">
        <f>IF(ISERROR(1/C23)=FALSE,1/C23*POWER(10,6+1),"∞")</f>
        <v>12820512.82051282</v>
      </c>
      <c r="H23" s="4">
        <f>IF(ISERROR(1/C23)=FALSE,2*PI()*F23/10000,"∞")</f>
        <v>8.0553657784353643</v>
      </c>
      <c r="I23" s="5">
        <f>IF(ISERROR(1/C23)=FALSE,2*PI()*F23/10,"∞")</f>
        <v>8055.3657784353654</v>
      </c>
      <c r="J23" s="6">
        <f>IF(ISERROR(1/C23)=FALSE,2*PI()*F23*100,"∞")</f>
        <v>8055365.7784353653</v>
      </c>
      <c r="K23" s="4">
        <f>IF(ISERROR(1/C23)=FALSE,4.13566743*POWER(10,-15+8+2)*F23*2.99792,"∞")</f>
        <v>1.589538474582769</v>
      </c>
      <c r="L23" s="5">
        <f>IF(ISERROR(1/C23)=FALSE,4.13566743*POWER(10,-15+8+2+3)*F23*2.99792,"∞")</f>
        <v>1589.5384745827689</v>
      </c>
      <c r="M23" s="8">
        <f>IF(ISERROR(1/C23)=FALSE,4.13566743*POWER(10,-15+8+2+6)*F23*2.99792,"∞")</f>
        <v>1589538.474582769</v>
      </c>
      <c r="N23" s="4">
        <f>C23*POWER(10,-6-8+18)/2.99792</f>
        <v>2601.8039173827187</v>
      </c>
      <c r="O23" s="5">
        <f>C23*POWER(10,-6-8+15)/2.99792</f>
        <v>2.601803917382719</v>
      </c>
      <c r="P23" s="6">
        <f>C23*POWER(10,-6-8+12)/2.99792</f>
        <v>2.6018039173827186E-3</v>
      </c>
      <c r="Q23" s="4">
        <f>IF(ISERROR(1/O23)=FALSE,1/O23*POWER(10,15-15),"∞")</f>
        <v>0.38434871794871789</v>
      </c>
      <c r="R23" s="5">
        <f>IF(ISERROR(1/O23)=FALSE,1/O23*POWER(10,15-12),"∞")</f>
        <v>384.34871794871788</v>
      </c>
      <c r="S23" s="7">
        <f>IF(ISERROR(1/O23)=FALSE,1/O23*POWER(10,15-9),"∞")</f>
        <v>384348.71794871788</v>
      </c>
      <c r="T23" s="4">
        <f>IF(ISERROR(1/O23)=FALSE,2*PI()*R23/10000,"∞")</f>
        <v>0.24149342174486951</v>
      </c>
      <c r="U23" s="5">
        <f>IF(ISERROR(1/O23)=FALSE,2*PI()*R23/10,"∞")</f>
        <v>241.49342174486952</v>
      </c>
      <c r="V23" s="6">
        <f>IF(ISERROR(1/O23)=FALSE,2*PI()*R23*100,"∞")</f>
        <v>241493.4217448695</v>
      </c>
      <c r="W23" s="4">
        <f>IF(ISERROR(1/O23)=FALSE,4.13566743*POWER(10,-15+12)*R23,"∞")</f>
        <v>1.589538474582769</v>
      </c>
      <c r="X23" s="5">
        <f>IF(ISERROR(1/O23)=FALSE,4.13566743*POWER(10,-15+12+3)*R23,"∞")</f>
        <v>1589.5384745827689</v>
      </c>
      <c r="Y23" s="7">
        <f>IF(ISERROR(1/O23)=FALSE,4.13566743*POWER(10,-15+12+6)*R23,"∞")</f>
        <v>1589538.4745827687</v>
      </c>
      <c r="Z23" s="4">
        <f>IF(ISERROR(1/O23)=FALSE,X23*POWER(10,-3+5-4)/8.617343,"∞")</f>
        <v>1.8445807188860521</v>
      </c>
      <c r="AA23" s="5">
        <f>IF(ISERROR(1/O23)=FALSE,X23*POWER(10,-3+5-1)/8.617343,"∞")</f>
        <v>1844.5807188860522</v>
      </c>
      <c r="AB23" s="9">
        <f>IF(ISERROR(1/O23)=FALSE,X23*POWER(10,-3+5+2)/8.617343,"∞")</f>
        <v>1844580.7188860523</v>
      </c>
    </row>
    <row r="24" spans="1:28">
      <c r="A24" s="3">
        <v>2</v>
      </c>
      <c r="B24" s="4">
        <f>C24*1000</f>
        <v>20000</v>
      </c>
      <c r="C24" s="19">
        <v>20</v>
      </c>
      <c r="D24" s="6">
        <f>C24/1000</f>
        <v>0.02</v>
      </c>
      <c r="E24" s="4">
        <f>IF(ISERROR(1/C24)=FALSE,1/C24*POWER(10,6-5),"∞")</f>
        <v>0.5</v>
      </c>
      <c r="F24" s="5">
        <f>IF(ISERROR(1/C24)=FALSE,1/C24*POWER(10,6-2),"∞")</f>
        <v>500</v>
      </c>
      <c r="G24" s="7">
        <f>IF(ISERROR(1/C24)=FALSE,1/C24*POWER(10,6+1),"∞")</f>
        <v>500000</v>
      </c>
      <c r="H24" s="4">
        <f>IF(ISERROR(1/C24)=FALSE,2*PI()*F24/10000,"∞")</f>
        <v>0.31415926535897931</v>
      </c>
      <c r="I24" s="5">
        <f>IF(ISERROR(1/C24)=FALSE,2*PI()*F24/10,"∞")</f>
        <v>314.15926535897927</v>
      </c>
      <c r="J24" s="6">
        <f>IF(ISERROR(1/C24)=FALSE,2*PI()*F24*100,"∞")</f>
        <v>314159.26535897929</v>
      </c>
      <c r="K24" s="4">
        <f t="shared" ref="K24:K25" si="0">IF(ISERROR(1/C24)=FALSE,4.13566743*POWER(10,-15+8+2)*F24*2.99792,"∞")</f>
        <v>6.1992000508728003E-2</v>
      </c>
      <c r="L24" s="5">
        <f t="shared" ref="L24:L25" si="1">IF(ISERROR(1/C24)=FALSE,4.13566743*POWER(10,-15+8+2+3)*F24*2.99792,"∞")</f>
        <v>61.992000508728005</v>
      </c>
      <c r="M24" s="8">
        <f t="shared" ref="M24:M25" si="2">IF(ISERROR(1/C24)=FALSE,4.13566743*POWER(10,-15+8+2+6)*F24*2.99792,"∞")</f>
        <v>61992.000508727993</v>
      </c>
      <c r="N24" s="4">
        <f>C24*POWER(10,-6-8+18)/2.99792</f>
        <v>66712.920958531249</v>
      </c>
      <c r="O24" s="5">
        <f>C24*POWER(10,-6-8+15)/2.99792</f>
        <v>66.712920958531242</v>
      </c>
      <c r="P24" s="6">
        <f>C24*POWER(10,-6-8+12)/2.99792</f>
        <v>6.6712920958531249E-2</v>
      </c>
      <c r="Q24" s="4">
        <f>IF(ISERROR(1/O24)=FALSE,1/O24*POWER(10,15-15),"∞")</f>
        <v>1.49896E-2</v>
      </c>
      <c r="R24" s="5">
        <f>IF(ISERROR(1/O24)=FALSE,1/O24*POWER(10,15-12),"∞")</f>
        <v>14.989600000000001</v>
      </c>
      <c r="S24" s="7">
        <f>IF(ISERROR(1/O24)=FALSE,1/O24*POWER(10,15-9),"∞")</f>
        <v>14989.6</v>
      </c>
      <c r="T24" s="4">
        <f>IF(ISERROR(1/O24)=FALSE,2*PI()*R24/10000,"∞")</f>
        <v>9.4182434480499146E-3</v>
      </c>
      <c r="U24" s="5">
        <f>IF(ISERROR(1/O24)=FALSE,2*PI()*R24/10,"∞")</f>
        <v>9.418243448049914</v>
      </c>
      <c r="V24" s="6">
        <f>IF(ISERROR(1/O24)=FALSE,2*PI()*R24*100,"∞")</f>
        <v>9418.2434480499142</v>
      </c>
      <c r="W24" s="4">
        <f>IF(ISERROR(1/O24)=FALSE,4.13566743*POWER(10,-15+12)*R24,"∞")</f>
        <v>6.1992000508728003E-2</v>
      </c>
      <c r="X24" s="5">
        <f>IF(ISERROR(1/O24)=FALSE,4.13566743*POWER(10,-15+12+3)*R24,"∞")</f>
        <v>61.992000508728005</v>
      </c>
      <c r="Y24" s="7">
        <f>IF(ISERROR(1/O24)=FALSE,4.13566743*POWER(10,-15+12+6)*R24,"∞")</f>
        <v>61992.000508728001</v>
      </c>
      <c r="Z24" s="4">
        <f>IF(ISERROR(1/O24)=FALSE,X24*POWER(10,-3+5-4)/8.617343,"∞")</f>
        <v>7.1938648036556058E-2</v>
      </c>
      <c r="AA24" s="5">
        <f>IF(ISERROR(1/O24)=FALSE,X24*POWER(10,-3+5-1)/8.617343,"∞")</f>
        <v>71.93864803655606</v>
      </c>
      <c r="AB24" s="9">
        <f>IF(ISERROR(1/O24)=FALSE,X24*POWER(10,-3+5+2)/8.617343,"∞")</f>
        <v>71938.648036556056</v>
      </c>
    </row>
    <row r="25" spans="1:28">
      <c r="A25" s="3">
        <v>3</v>
      </c>
      <c r="B25" s="4">
        <f>C25*1000</f>
        <v>53000000</v>
      </c>
      <c r="C25" s="5">
        <f>D25*1000</f>
        <v>53000</v>
      </c>
      <c r="D25" s="20">
        <v>53</v>
      </c>
      <c r="E25" s="4">
        <f>IF(ISERROR(1/C25)=FALSE,1/C25*POWER(10,6-5),"∞")</f>
        <v>1.8867924528301889E-4</v>
      </c>
      <c r="F25" s="5">
        <f>IF(ISERROR(1/C25)=FALSE,1/C25*POWER(10,6-2),"∞")</f>
        <v>0.18867924528301888</v>
      </c>
      <c r="G25" s="7">
        <f>IF(ISERROR(1/C25)=FALSE,1/C25*POWER(10,6+1),"∞")</f>
        <v>188.67924528301887</v>
      </c>
      <c r="H25" s="4">
        <f>IF(ISERROR(1/C25)=FALSE,2*PI()*F25/10000,"∞")</f>
        <v>1.1855066617319976E-4</v>
      </c>
      <c r="I25" s="5">
        <f>IF(ISERROR(1/C25)=FALSE,2*PI()*F25/10,"∞")</f>
        <v>0.11855066617319976</v>
      </c>
      <c r="J25" s="6">
        <f>IF(ISERROR(1/C25)=FALSE,2*PI()*F25*100,"∞")</f>
        <v>118.55066617319976</v>
      </c>
      <c r="K25" s="4">
        <f t="shared" si="0"/>
        <v>2.3393207739142645E-5</v>
      </c>
      <c r="L25" s="5">
        <f t="shared" si="1"/>
        <v>2.3393207739142646E-2</v>
      </c>
      <c r="M25" s="8">
        <f t="shared" si="2"/>
        <v>23.393207739142643</v>
      </c>
      <c r="N25" s="4">
        <f>C25*POWER(10,-6-8+18)/2.99792</f>
        <v>176789240.54010779</v>
      </c>
      <c r="O25" s="5">
        <f>C25*POWER(10,-6-8+15)/2.99792</f>
        <v>176789.2405401078</v>
      </c>
      <c r="P25" s="6">
        <f>C25*POWER(10,-6-8+12)/2.99792</f>
        <v>176.78924054010781</v>
      </c>
      <c r="Q25" s="4">
        <f>IF(ISERROR(1/O25)=FALSE,1/O25*POWER(10,15-15),"∞")</f>
        <v>5.6564528301886793E-6</v>
      </c>
      <c r="R25" s="5">
        <f>IF(ISERROR(1/O25)=FALSE,1/O25*POWER(10,15-12),"∞")</f>
        <v>5.6564528301886793E-3</v>
      </c>
      <c r="S25" s="7">
        <f>IF(ISERROR(1/O25)=FALSE,1/O25*POWER(10,15-9),"∞")</f>
        <v>5.6564528301886794</v>
      </c>
      <c r="T25" s="4">
        <f>IF(ISERROR(1/O25)=FALSE,2*PI()*R25/10000,"∞")</f>
        <v>3.5540541313395896E-6</v>
      </c>
      <c r="U25" s="5">
        <f>IF(ISERROR(1/O25)=FALSE,2*PI()*R25/10,"∞")</f>
        <v>3.5540541313395894E-3</v>
      </c>
      <c r="V25" s="6">
        <f>IF(ISERROR(1/O25)=FALSE,2*PI()*R25*100,"∞")</f>
        <v>3.5540541313395893</v>
      </c>
      <c r="W25" s="4">
        <f>IF(ISERROR(1/O25)=FALSE,4.13566743*POWER(10,-15+12)*R25,"∞")</f>
        <v>2.3393207739142641E-5</v>
      </c>
      <c r="X25" s="5">
        <f>IF(ISERROR(1/O25)=FALSE,4.13566743*POWER(10,-15+12+3)*R25,"∞")</f>
        <v>2.3393207739142642E-2</v>
      </c>
      <c r="Y25" s="7">
        <f>IF(ISERROR(1/O25)=FALSE,4.13566743*POWER(10,-15+12+6)*R25,"∞")</f>
        <v>23.393207739142639</v>
      </c>
      <c r="Z25" s="4">
        <f>IF(ISERROR(1/O25)=FALSE,X25*POWER(10,-3+5-4)/8.617343,"∞")</f>
        <v>2.7146659636436243E-5</v>
      </c>
      <c r="AA25" s="5">
        <f>IF(ISERROR(1/O25)=FALSE,X25*POWER(10,-3+5-1)/8.617343,"∞")</f>
        <v>2.7146659636436244E-2</v>
      </c>
      <c r="AB25" s="9">
        <f>IF(ISERROR(1/O25)=FALSE,X25*POWER(10,-3+5+2)/8.617343,"∞")</f>
        <v>27.146659636436244</v>
      </c>
    </row>
    <row r="26" spans="1:28">
      <c r="A26" s="3">
        <v>4</v>
      </c>
      <c r="B26" s="4">
        <f t="shared" ref="B26:B31" si="3">IF(ISERROR(1/F26)=FALSE,1/F26*POWER(10,-2+9),"∞")</f>
        <v>55248.618784530387</v>
      </c>
      <c r="C26" s="5">
        <f t="shared" ref="C26:C31" si="4">IF(ISERROR(1/F26)=FALSE,1/F26*POWER(10,-2+6),"∞")</f>
        <v>55.248618784530386</v>
      </c>
      <c r="D26" s="6">
        <f t="shared" ref="D26:D31" si="5">IF(ISERROR(1/F26)=FALSE,1/F26*POWER(10,-2+3),"∞")</f>
        <v>5.5248618784530384E-2</v>
      </c>
      <c r="E26" s="18">
        <v>0.18099999999999999</v>
      </c>
      <c r="F26" s="5">
        <f>E26*1000</f>
        <v>181</v>
      </c>
      <c r="G26" s="7">
        <f>F26*1000</f>
        <v>181000</v>
      </c>
      <c r="H26" s="4">
        <f>2*PI()*F26/10000</f>
        <v>0.11372565405995051</v>
      </c>
      <c r="I26" s="5">
        <f>2*PI()*F26/10</f>
        <v>113.72565405995051</v>
      </c>
      <c r="J26" s="6">
        <f>2*PI()*F26*100</f>
        <v>113725.65405995051</v>
      </c>
      <c r="K26" s="4">
        <f>4.13566743*POWER(10,-15+8+2)*F26*2.99792</f>
        <v>2.2441104184159538E-2</v>
      </c>
      <c r="L26" s="5">
        <f>4.13566743*POWER(10,-15+8+2+3)*F26*2.99792</f>
        <v>22.441104184159535</v>
      </c>
      <c r="M26" s="8">
        <f>4.13566743*POWER(10,-15+8+2+6)*F26*2.99792</f>
        <v>22441.104184159536</v>
      </c>
      <c r="N26" s="4">
        <f t="shared" ref="N26:N34" si="6">IF(ISERROR(1/F26)=FALSE,C26*POWER(10,-6-8+18)/2.99792,"∞")</f>
        <v>184289.83690202003</v>
      </c>
      <c r="O26" s="5">
        <f t="shared" ref="O26:O34" si="7">IF(ISERROR(1/F26)=FALSE,C26*POWER(10,-6-8+15)/2.99792,"∞")</f>
        <v>184.28983690202003</v>
      </c>
      <c r="P26" s="6">
        <f t="shared" ref="P26:P34" si="8">IF(ISERROR(1/F26)=FALSE,C26*POWER(10,-6-8+12)/2.99792,"∞")</f>
        <v>0.18428983690202003</v>
      </c>
      <c r="Q26" s="4">
        <f t="shared" ref="Q26:Q31" si="9">IF(ISERROR(1/O26)=FALSE,1/O26*POWER(10,15-15),0)</f>
        <v>5.4262351999999998E-3</v>
      </c>
      <c r="R26" s="5">
        <f t="shared" ref="R26:R31" si="10">IF(ISERROR(1/O26)=FALSE,1/O26*POWER(10,15-12),0)</f>
        <v>5.4262351999999998</v>
      </c>
      <c r="S26" s="7">
        <f t="shared" ref="S26:S31" si="11">IF(ISERROR(1/O26)=FALSE,1/O26*POWER(10,15-9),0)</f>
        <v>5426.2352000000001</v>
      </c>
      <c r="T26" s="4">
        <f t="shared" ref="T26:T31" si="12">IF(ISERROR(1/O26)=FALSE,2*PI()*R26/10000,0)</f>
        <v>3.4094041281940682E-3</v>
      </c>
      <c r="U26" s="5">
        <f t="shared" ref="U26:U31" si="13">IF(ISERROR(1/O26)=FALSE,2*PI()*R26/10,0)</f>
        <v>3.4094041281940681</v>
      </c>
      <c r="V26" s="6">
        <f t="shared" ref="V26:V31" si="14">IF(ISERROR(1/O26)=FALSE,2*PI()*R26*100,0)</f>
        <v>3409.4041281940681</v>
      </c>
      <c r="W26" s="4">
        <f t="shared" ref="W26:W31" si="15">IF(ISERROR(1/O26)=FALSE,4.13566743*POWER(10,-15+12)*R26,0)</f>
        <v>2.2441104184159535E-2</v>
      </c>
      <c r="X26" s="5">
        <f t="shared" ref="X26:X31" si="16">IF(ISERROR(1/O26)=FALSE,4.13566743*POWER(10,-15+12+3)*R26,0)</f>
        <v>22.441104184159535</v>
      </c>
      <c r="Y26" s="7">
        <f t="shared" ref="Y26:Y31" si="17">IF(ISERROR(1/O26)=FALSE,4.13566743*POWER(10,-15+12+6)*R26,0)</f>
        <v>22441.104184159532</v>
      </c>
      <c r="Z26" s="4">
        <f t="shared" ref="Z26:Z31" si="18">IF(ISERROR(1/O26)=FALSE,X26*POWER(10,-3+5-4)/8.617343,0)</f>
        <v>2.6041790589233289E-2</v>
      </c>
      <c r="AA26" s="5">
        <f t="shared" ref="AA26:AA31" si="19">IF(ISERROR(1/O26)=FALSE,X26*POWER(10,-3+5-1)/8.617343,0)</f>
        <v>26.04179058923329</v>
      </c>
      <c r="AB26" s="9">
        <f t="shared" ref="AB26:AB31" si="20">IF(ISERROR(1/O26)=FALSE,X26*POWER(10,-3+5+2)/8.617343,0)</f>
        <v>26041.790589233289</v>
      </c>
    </row>
    <row r="27" spans="1:28">
      <c r="A27" s="3">
        <v>5</v>
      </c>
      <c r="B27" s="4">
        <f t="shared" si="3"/>
        <v>50000</v>
      </c>
      <c r="C27" s="5">
        <f t="shared" si="4"/>
        <v>50</v>
      </c>
      <c r="D27" s="6">
        <f t="shared" si="5"/>
        <v>0.05</v>
      </c>
      <c r="E27" s="4">
        <f>F27/1000</f>
        <v>0.2</v>
      </c>
      <c r="F27" s="19">
        <v>200</v>
      </c>
      <c r="G27" s="7">
        <f>F27*1000</f>
        <v>200000</v>
      </c>
      <c r="H27" s="4">
        <f>2*PI()*F27/10000</f>
        <v>0.12566370614359174</v>
      </c>
      <c r="I27" s="5">
        <f>2*PI()*F27/10</f>
        <v>125.66370614359172</v>
      </c>
      <c r="J27" s="6">
        <f>2*PI()*F27*100</f>
        <v>125663.70614359173</v>
      </c>
      <c r="K27" s="4">
        <f>4.13566743*POWER(10,-15+8+2)*F27*2.99792</f>
        <v>2.47968002034912E-2</v>
      </c>
      <c r="L27" s="5">
        <f>4.13566743*POWER(10,-15+8+2+3)*F27*2.99792</f>
        <v>24.796800203491198</v>
      </c>
      <c r="M27" s="8">
        <f>4.13566743*POWER(10,-15+8+2+6)*F27*2.99792</f>
        <v>24796.800203491199</v>
      </c>
      <c r="N27" s="4">
        <f t="shared" si="6"/>
        <v>166782.3023963281</v>
      </c>
      <c r="O27" s="5">
        <f t="shared" si="7"/>
        <v>166.78230239632811</v>
      </c>
      <c r="P27" s="6">
        <f t="shared" si="8"/>
        <v>0.1667823023963281</v>
      </c>
      <c r="Q27" s="4">
        <f t="shared" si="9"/>
        <v>5.9958400000000005E-3</v>
      </c>
      <c r="R27" s="5">
        <f t="shared" si="10"/>
        <v>5.9958400000000003</v>
      </c>
      <c r="S27" s="7">
        <f t="shared" si="11"/>
        <v>5995.84</v>
      </c>
      <c r="T27" s="4">
        <f t="shared" si="12"/>
        <v>3.7672973792199651E-3</v>
      </c>
      <c r="U27" s="5">
        <f t="shared" si="13"/>
        <v>3.7672973792199649</v>
      </c>
      <c r="V27" s="6">
        <f t="shared" si="14"/>
        <v>3767.297379219965</v>
      </c>
      <c r="W27" s="4">
        <f t="shared" si="15"/>
        <v>2.47968002034912E-2</v>
      </c>
      <c r="X27" s="5">
        <f t="shared" si="16"/>
        <v>24.796800203491198</v>
      </c>
      <c r="Y27" s="7">
        <f t="shared" si="17"/>
        <v>24796.800203491199</v>
      </c>
      <c r="Z27" s="4">
        <f t="shared" si="18"/>
        <v>2.8775459214622417E-2</v>
      </c>
      <c r="AA27" s="5">
        <f t="shared" si="19"/>
        <v>28.775459214622419</v>
      </c>
      <c r="AB27" s="9">
        <f t="shared" si="20"/>
        <v>28775.459214622417</v>
      </c>
    </row>
    <row r="28" spans="1:28">
      <c r="A28" s="3">
        <v>6</v>
      </c>
      <c r="B28" s="4">
        <f t="shared" si="3"/>
        <v>55248.618784530387</v>
      </c>
      <c r="C28" s="5">
        <f t="shared" si="4"/>
        <v>55.248618784530386</v>
      </c>
      <c r="D28" s="6">
        <f t="shared" si="5"/>
        <v>5.5248618784530384E-2</v>
      </c>
      <c r="E28" s="4">
        <f>F28/1000</f>
        <v>0.18099999999999999</v>
      </c>
      <c r="F28" s="5">
        <f>G28/1000</f>
        <v>181</v>
      </c>
      <c r="G28" s="21">
        <v>181000</v>
      </c>
      <c r="H28" s="4">
        <f>2*PI()*F28/10000</f>
        <v>0.11372565405995051</v>
      </c>
      <c r="I28" s="5">
        <f>2*PI()*F28/10</f>
        <v>113.72565405995051</v>
      </c>
      <c r="J28" s="6">
        <f>2*PI()*F28*100</f>
        <v>113725.65405995051</v>
      </c>
      <c r="K28" s="4">
        <f>4.13566743*POWER(10,-15+8+2)*F28*2.99792</f>
        <v>2.2441104184159538E-2</v>
      </c>
      <c r="L28" s="5">
        <f>4.13566743*POWER(10,-15+8+2+3)*F28*2.99792</f>
        <v>22.441104184159535</v>
      </c>
      <c r="M28" s="8">
        <f>4.13566743*POWER(10,-15+8+2+6)*F28*2.99792</f>
        <v>22441.104184159536</v>
      </c>
      <c r="N28" s="4">
        <f t="shared" si="6"/>
        <v>184289.83690202003</v>
      </c>
      <c r="O28" s="5">
        <f t="shared" si="7"/>
        <v>184.28983690202003</v>
      </c>
      <c r="P28" s="6">
        <f t="shared" si="8"/>
        <v>0.18428983690202003</v>
      </c>
      <c r="Q28" s="4">
        <f t="shared" si="9"/>
        <v>5.4262351999999998E-3</v>
      </c>
      <c r="R28" s="5">
        <f t="shared" si="10"/>
        <v>5.4262351999999998</v>
      </c>
      <c r="S28" s="7">
        <f t="shared" si="11"/>
        <v>5426.2352000000001</v>
      </c>
      <c r="T28" s="4">
        <f t="shared" si="12"/>
        <v>3.4094041281940682E-3</v>
      </c>
      <c r="U28" s="5">
        <f t="shared" si="13"/>
        <v>3.4094041281940681</v>
      </c>
      <c r="V28" s="6">
        <f t="shared" si="14"/>
        <v>3409.4041281940681</v>
      </c>
      <c r="W28" s="4">
        <f t="shared" si="15"/>
        <v>2.2441104184159535E-2</v>
      </c>
      <c r="X28" s="5">
        <f t="shared" si="16"/>
        <v>22.441104184159535</v>
      </c>
      <c r="Y28" s="7">
        <f t="shared" si="17"/>
        <v>22441.104184159532</v>
      </c>
      <c r="Z28" s="4">
        <f t="shared" si="18"/>
        <v>2.6041790589233289E-2</v>
      </c>
      <c r="AA28" s="5">
        <f t="shared" si="19"/>
        <v>26.04179058923329</v>
      </c>
      <c r="AB28" s="9">
        <f t="shared" si="20"/>
        <v>26041.790589233289</v>
      </c>
    </row>
    <row r="29" spans="1:28">
      <c r="A29" s="3">
        <v>7</v>
      </c>
      <c r="B29" s="4">
        <f t="shared" si="3"/>
        <v>139.62634015954634</v>
      </c>
      <c r="C29" s="5">
        <f t="shared" si="4"/>
        <v>0.13962634015954636</v>
      </c>
      <c r="D29" s="6">
        <f t="shared" si="5"/>
        <v>1.3962634015954634E-4</v>
      </c>
      <c r="E29" s="4">
        <f>I29/2/PI()/100</f>
        <v>71.619724391352904</v>
      </c>
      <c r="F29" s="5">
        <f>I29/2/PI()*10</f>
        <v>71619.724391352909</v>
      </c>
      <c r="G29" s="7">
        <f>I29/2/PI()*10000</f>
        <v>71619724.391352907</v>
      </c>
      <c r="H29" s="18">
        <v>45</v>
      </c>
      <c r="I29" s="5">
        <f>H29*1000</f>
        <v>45000</v>
      </c>
      <c r="J29" s="6">
        <f>I29*1000</f>
        <v>45000000</v>
      </c>
      <c r="K29" s="4">
        <f t="shared" ref="K29:K31" si="21">4.13566743*POWER(10,-15+8+2)*F29*2.99792</f>
        <v>8.879699981807418</v>
      </c>
      <c r="L29" s="5">
        <f t="shared" ref="L29:L31" si="22">4.13566743*POWER(10,-15+8+2+3)*F29*2.99792</f>
        <v>8879.6999818074164</v>
      </c>
      <c r="M29" s="8">
        <f t="shared" ref="M29:M31" si="23">4.13566743*POWER(10,-15+8+2+6)*F29*2.99792</f>
        <v>8879699.9818074163</v>
      </c>
      <c r="N29" s="4">
        <f t="shared" si="6"/>
        <v>465.74404973964067</v>
      </c>
      <c r="O29" s="5">
        <f t="shared" si="7"/>
        <v>0.46574404973964068</v>
      </c>
      <c r="P29" s="6">
        <f t="shared" si="8"/>
        <v>4.6574404973964072E-4</v>
      </c>
      <c r="Q29" s="4">
        <f t="shared" si="9"/>
        <v>2.1471020414732469</v>
      </c>
      <c r="R29" s="5">
        <f t="shared" si="10"/>
        <v>2147.102041473247</v>
      </c>
      <c r="S29" s="7">
        <f t="shared" si="11"/>
        <v>2147102.0414732471</v>
      </c>
      <c r="T29" s="4">
        <f t="shared" si="12"/>
        <v>1.349064</v>
      </c>
      <c r="U29" s="5">
        <f t="shared" si="13"/>
        <v>1349.0639999999999</v>
      </c>
      <c r="V29" s="6">
        <f t="shared" si="14"/>
        <v>1349064</v>
      </c>
      <c r="W29" s="4">
        <f t="shared" si="15"/>
        <v>8.8796999818074163</v>
      </c>
      <c r="X29" s="5">
        <f t="shared" si="16"/>
        <v>8879.6999818074164</v>
      </c>
      <c r="Y29" s="7">
        <f t="shared" si="17"/>
        <v>8879699.9818074163</v>
      </c>
      <c r="Z29" s="4">
        <f t="shared" si="18"/>
        <v>10.304452290929371</v>
      </c>
      <c r="AA29" s="5">
        <f t="shared" si="19"/>
        <v>10304.45229092937</v>
      </c>
      <c r="AB29" s="9">
        <f t="shared" si="20"/>
        <v>10304452.29092937</v>
      </c>
    </row>
    <row r="30" spans="1:28">
      <c r="A30" s="3">
        <v>8</v>
      </c>
      <c r="B30" s="4" t="str">
        <f t="shared" si="3"/>
        <v>∞</v>
      </c>
      <c r="C30" s="5" t="str">
        <f t="shared" si="4"/>
        <v>∞</v>
      </c>
      <c r="D30" s="6" t="str">
        <f t="shared" si="5"/>
        <v>∞</v>
      </c>
      <c r="E30" s="4">
        <f>I30/2/PI()/100</f>
        <v>0</v>
      </c>
      <c r="F30" s="5">
        <f>I30/2/PI()*10</f>
        <v>0</v>
      </c>
      <c r="G30" s="7">
        <f>I30/2/PI()*10000</f>
        <v>0</v>
      </c>
      <c r="H30" s="4">
        <f>I30/1000</f>
        <v>0</v>
      </c>
      <c r="I30" s="19">
        <v>0</v>
      </c>
      <c r="J30" s="6">
        <f>I30*1000</f>
        <v>0</v>
      </c>
      <c r="K30" s="4">
        <f t="shared" si="21"/>
        <v>0</v>
      </c>
      <c r="L30" s="5">
        <f t="shared" si="22"/>
        <v>0</v>
      </c>
      <c r="M30" s="8">
        <f t="shared" si="23"/>
        <v>0</v>
      </c>
      <c r="N30" s="4" t="str">
        <f t="shared" si="6"/>
        <v>∞</v>
      </c>
      <c r="O30" s="5" t="str">
        <f t="shared" si="7"/>
        <v>∞</v>
      </c>
      <c r="P30" s="6" t="str">
        <f t="shared" si="8"/>
        <v>∞</v>
      </c>
      <c r="Q30" s="4">
        <f t="shared" si="9"/>
        <v>0</v>
      </c>
      <c r="R30" s="5">
        <f t="shared" si="10"/>
        <v>0</v>
      </c>
      <c r="S30" s="7">
        <f t="shared" si="11"/>
        <v>0</v>
      </c>
      <c r="T30" s="4">
        <f t="shared" si="12"/>
        <v>0</v>
      </c>
      <c r="U30" s="5">
        <f t="shared" si="13"/>
        <v>0</v>
      </c>
      <c r="V30" s="6">
        <f t="shared" si="14"/>
        <v>0</v>
      </c>
      <c r="W30" s="4">
        <f t="shared" si="15"/>
        <v>0</v>
      </c>
      <c r="X30" s="5">
        <f t="shared" si="16"/>
        <v>0</v>
      </c>
      <c r="Y30" s="7">
        <f t="shared" si="17"/>
        <v>0</v>
      </c>
      <c r="Z30" s="4">
        <f t="shared" si="18"/>
        <v>0</v>
      </c>
      <c r="AA30" s="5">
        <f t="shared" si="19"/>
        <v>0</v>
      </c>
      <c r="AB30" s="9">
        <f t="shared" si="20"/>
        <v>0</v>
      </c>
    </row>
    <row r="31" spans="1:28">
      <c r="A31" s="3">
        <v>9</v>
      </c>
      <c r="B31" s="4">
        <f t="shared" si="3"/>
        <v>55261.084495862669</v>
      </c>
      <c r="C31" s="5">
        <f t="shared" si="4"/>
        <v>55.261084495862669</v>
      </c>
      <c r="D31" s="6">
        <f t="shared" si="5"/>
        <v>5.5261084495862665E-2</v>
      </c>
      <c r="E31" s="4">
        <f>I31/2/PI()/100</f>
        <v>0.18095917029548503</v>
      </c>
      <c r="F31" s="5">
        <f>I31/2/PI()*10</f>
        <v>180.95917029548502</v>
      </c>
      <c r="G31" s="7">
        <f>I31/2/PI()*10000</f>
        <v>180959.17029548503</v>
      </c>
      <c r="H31" s="4">
        <f>I31/1000</f>
        <v>0.11370000000000001</v>
      </c>
      <c r="I31" s="5">
        <f>J31/1000</f>
        <v>113.7</v>
      </c>
      <c r="J31" s="20">
        <v>113700</v>
      </c>
      <c r="K31" s="4">
        <f t="shared" si="21"/>
        <v>2.2436041954033408E-2</v>
      </c>
      <c r="L31" s="5">
        <f t="shared" si="22"/>
        <v>22.43604195403341</v>
      </c>
      <c r="M31" s="8">
        <f t="shared" si="23"/>
        <v>22436.041954033408</v>
      </c>
      <c r="N31" s="4">
        <f t="shared" si="6"/>
        <v>184331.41810276013</v>
      </c>
      <c r="O31" s="5">
        <f t="shared" si="7"/>
        <v>184.33141810276013</v>
      </c>
      <c r="P31" s="6">
        <f t="shared" si="8"/>
        <v>0.18433141810276013</v>
      </c>
      <c r="Q31" s="4">
        <f t="shared" si="9"/>
        <v>5.4250111581224053E-3</v>
      </c>
      <c r="R31" s="5">
        <f t="shared" si="10"/>
        <v>5.4250111581224054</v>
      </c>
      <c r="S31" s="7">
        <f t="shared" si="11"/>
        <v>5425.0111581224055</v>
      </c>
      <c r="T31" s="4">
        <f t="shared" si="12"/>
        <v>3.4086350400000008E-3</v>
      </c>
      <c r="U31" s="5">
        <f t="shared" si="13"/>
        <v>3.4086350400000009</v>
      </c>
      <c r="V31" s="6">
        <f t="shared" si="14"/>
        <v>3408.6350400000006</v>
      </c>
      <c r="W31" s="4">
        <f t="shared" si="15"/>
        <v>2.2436041954033412E-2</v>
      </c>
      <c r="X31" s="5">
        <f t="shared" si="16"/>
        <v>22.43604195403341</v>
      </c>
      <c r="Y31" s="7">
        <f t="shared" si="17"/>
        <v>22436.041954033408</v>
      </c>
      <c r="Z31" s="4">
        <f t="shared" si="18"/>
        <v>2.6035916121748215E-2</v>
      </c>
      <c r="AA31" s="5">
        <f t="shared" si="19"/>
        <v>26.035916121748212</v>
      </c>
      <c r="AB31" s="9">
        <f t="shared" si="20"/>
        <v>26035.916121748211</v>
      </c>
    </row>
    <row r="32" spans="1:28">
      <c r="A32" s="3">
        <v>10</v>
      </c>
      <c r="B32" s="4">
        <f t="shared" ref="B32:B34" si="24">IF(ISERROR(1/F32)=FALSE,1/F32*POWER(10,-2+9),"∞")</f>
        <v>1.396216227674054</v>
      </c>
      <c r="C32" s="5">
        <f t="shared" ref="C32:C34" si="25">IF(ISERROR(1/F32)=FALSE,1/F32*POWER(10,-2+6),"∞")</f>
        <v>1.3962162276740539E-3</v>
      </c>
      <c r="D32" s="6">
        <f t="shared" ref="D32:D34" si="26">IF(ISERROR(1/F32)=FALSE,1/F32*POWER(10,-2+3),"∞")</f>
        <v>1.396216227674054E-6</v>
      </c>
      <c r="E32" s="4">
        <f>POWER(10,15-8-5-3)*L32/2.99792/4.13566743</f>
        <v>7162.2144205120176</v>
      </c>
      <c r="F32" s="5">
        <f>POWER(10,15-8-2-3)*L32/2.99792/4.13566743</f>
        <v>7162214.4205120178</v>
      </c>
      <c r="G32" s="7">
        <f>POWER(10,15-8+1-3)*L32/2.99792/4.13566743</f>
        <v>7162214420.5120173</v>
      </c>
      <c r="H32" s="4">
        <f>2*PI()*F32/10000</f>
        <v>4500.1520413830858</v>
      </c>
      <c r="I32" s="5">
        <f>2*PI()*F32/10</f>
        <v>4500152.0413830858</v>
      </c>
      <c r="J32" s="6">
        <f>2*PI()*F32*100</f>
        <v>4500152041.3830862</v>
      </c>
      <c r="K32" s="18">
        <v>888</v>
      </c>
      <c r="L32" s="5">
        <f>K32*1000</f>
        <v>888000</v>
      </c>
      <c r="M32" s="8">
        <f>L32*1000</f>
        <v>888000000</v>
      </c>
      <c r="N32" s="4">
        <f t="shared" si="6"/>
        <v>4.6572831418918916</v>
      </c>
      <c r="O32" s="5">
        <f t="shared" si="7"/>
        <v>4.6572831418918914E-3</v>
      </c>
      <c r="P32" s="6">
        <f t="shared" si="8"/>
        <v>4.657283141891891E-6</v>
      </c>
      <c r="Q32" s="4">
        <f t="shared" ref="Q32:Q34" si="27">IF(ISERROR(1/O32)=FALSE,1/O32*POWER(10,15-15),0)</f>
        <v>214.71745855541388</v>
      </c>
      <c r="R32" s="5">
        <f t="shared" ref="R32:R34" si="28">IF(ISERROR(1/O32)=FALSE,1/O32*POWER(10,15-12),0)</f>
        <v>214717.45855541388</v>
      </c>
      <c r="S32" s="7">
        <f t="shared" ref="S32:S34" si="29">IF(ISERROR(1/O32)=FALSE,1/O32*POWER(10,15-9),0)</f>
        <v>214717458.55541387</v>
      </c>
      <c r="T32" s="4">
        <f t="shared" ref="T32:T34" si="30">IF(ISERROR(1/O32)=FALSE,2*PI()*R32/10000,0)</f>
        <v>134.91095807903184</v>
      </c>
      <c r="U32" s="5">
        <f t="shared" ref="U32:U34" si="31">IF(ISERROR(1/O32)=FALSE,2*PI()*R32/10,0)</f>
        <v>134910.95807903184</v>
      </c>
      <c r="V32" s="6">
        <f t="shared" ref="V32:V34" si="32">IF(ISERROR(1/O32)=FALSE,2*PI()*R32*100,0)</f>
        <v>134910958.07903183</v>
      </c>
      <c r="W32" s="4">
        <f t="shared" ref="W32:W34" si="33">IF(ISERROR(1/O32)=FALSE,4.13566743*POWER(10,-15+12)*R32,0)</f>
        <v>888</v>
      </c>
      <c r="X32" s="5">
        <f t="shared" ref="X32:X34" si="34">IF(ISERROR(1/O32)=FALSE,4.13566743*POWER(10,-15+12+3)*R32,0)</f>
        <v>888000</v>
      </c>
      <c r="Y32" s="7">
        <f t="shared" ref="Y32:Y34" si="35">IF(ISERROR(1/O32)=FALSE,4.13566743*POWER(10,-15+12+6)*R32,0)</f>
        <v>887999999.99999988</v>
      </c>
      <c r="Z32" s="4">
        <f t="shared" ref="Z32:Z34" si="36">IF(ISERROR(1/O32)=FALSE,X32*POWER(10,-3+5-4)/8.617343,0)</f>
        <v>1030.4800447191205</v>
      </c>
      <c r="AA32" s="5">
        <f t="shared" ref="AA32:AA34" si="37">IF(ISERROR(1/O32)=FALSE,X32*POWER(10,-3+5-1)/8.617343,0)</f>
        <v>1030480.0447191205</v>
      </c>
      <c r="AB32" s="9">
        <f t="shared" ref="AB32:AB34" si="38">IF(ISERROR(1/O32)=FALSE,X32*POWER(10,-3+5+2)/8.617343,0)</f>
        <v>1030480044.7191205</v>
      </c>
    </row>
    <row r="33" spans="1:28">
      <c r="A33" s="3">
        <v>11</v>
      </c>
      <c r="B33" s="4">
        <f t="shared" si="24"/>
        <v>19074.461694993232</v>
      </c>
      <c r="C33" s="5">
        <f t="shared" si="25"/>
        <v>19.074461694993232</v>
      </c>
      <c r="D33" s="6">
        <f t="shared" si="26"/>
        <v>1.9074461694993231E-2</v>
      </c>
      <c r="E33" s="4">
        <f>POWER(10,15-8-5-3)*L33/2.99792/4.13566743</f>
        <v>0.52426119069063182</v>
      </c>
      <c r="F33" s="5">
        <f>POWER(10,15-8-2-3)*L33/2.99792/4.13566743</f>
        <v>524.26119069063191</v>
      </c>
      <c r="G33" s="7">
        <f>POWER(10,15-8+1-3)*L33/2.99792/4.13566743</f>
        <v>524261.19069063192</v>
      </c>
      <c r="H33" s="4">
        <f>2*PI()*F33/10000</f>
        <v>0.32940302104718533</v>
      </c>
      <c r="I33" s="5">
        <f>2*PI()*F33/10</f>
        <v>329.40302104718535</v>
      </c>
      <c r="J33" s="6">
        <f>2*PI()*F33*100</f>
        <v>329403.02104718535</v>
      </c>
      <c r="K33" s="4">
        <f>L33/1000</f>
        <v>6.5000000000000002E-2</v>
      </c>
      <c r="L33" s="19">
        <v>65</v>
      </c>
      <c r="M33" s="8">
        <f>L33*1000</f>
        <v>65000</v>
      </c>
      <c r="N33" s="4">
        <f t="shared" si="6"/>
        <v>63625.652769230772</v>
      </c>
      <c r="O33" s="5">
        <f t="shared" si="7"/>
        <v>63.625652769230769</v>
      </c>
      <c r="P33" s="6">
        <f t="shared" si="8"/>
        <v>6.3625652769230781E-2</v>
      </c>
      <c r="Q33" s="4">
        <f t="shared" si="27"/>
        <v>1.5716931087952593E-2</v>
      </c>
      <c r="R33" s="5">
        <f t="shared" si="28"/>
        <v>15.716931087952593</v>
      </c>
      <c r="S33" s="7">
        <f t="shared" si="29"/>
        <v>15716.931087952593</v>
      </c>
      <c r="T33" s="4">
        <f t="shared" si="30"/>
        <v>9.8752390485777816E-3</v>
      </c>
      <c r="U33" s="5">
        <f t="shared" si="31"/>
        <v>9.8752390485777806</v>
      </c>
      <c r="V33" s="6">
        <f t="shared" si="32"/>
        <v>9875.2390485777814</v>
      </c>
      <c r="W33" s="4">
        <f t="shared" si="33"/>
        <v>6.5000000000000002E-2</v>
      </c>
      <c r="X33" s="5">
        <f t="shared" si="34"/>
        <v>65</v>
      </c>
      <c r="Y33" s="7">
        <f t="shared" si="35"/>
        <v>65000</v>
      </c>
      <c r="Z33" s="4">
        <f t="shared" si="36"/>
        <v>7.5429282552638324E-2</v>
      </c>
      <c r="AA33" s="5">
        <f t="shared" si="37"/>
        <v>75.429282552638327</v>
      </c>
      <c r="AB33" s="9">
        <f t="shared" si="38"/>
        <v>75429.282552638324</v>
      </c>
    </row>
    <row r="34" spans="1:28">
      <c r="A34" s="3">
        <v>12</v>
      </c>
      <c r="B34" s="4">
        <f t="shared" si="24"/>
        <v>55251.337351807488</v>
      </c>
      <c r="C34" s="5">
        <f t="shared" si="25"/>
        <v>55.251337351807486</v>
      </c>
      <c r="D34" s="6">
        <f t="shared" si="26"/>
        <v>5.5251337351807484E-2</v>
      </c>
      <c r="E34" s="4">
        <f>POWER(10,15-8-5-3)*L34/2.99792/4.13566743</f>
        <v>0.18099109413996586</v>
      </c>
      <c r="F34" s="5">
        <f>POWER(10,15-8-2-3)*L34/2.99792/4.13566743</f>
        <v>180.99109413996584</v>
      </c>
      <c r="G34" s="7">
        <f>POWER(10,15-8+1-3)*L34/2.99792/4.13566743</f>
        <v>180991.09413996586</v>
      </c>
      <c r="H34" s="4">
        <f>2*PI()*F34/10000</f>
        <v>0.11372005834305908</v>
      </c>
      <c r="I34" s="5">
        <f>2*PI()*F34/10</f>
        <v>113.72005834305908</v>
      </c>
      <c r="J34" s="6">
        <f>2*PI()*F34*100</f>
        <v>113720.05834305908</v>
      </c>
      <c r="K34" s="4">
        <f>L34/1000</f>
        <v>2.2440000000000002E-2</v>
      </c>
      <c r="L34" s="5">
        <f>M34/1000</f>
        <v>22.44</v>
      </c>
      <c r="M34" s="22">
        <v>22440</v>
      </c>
      <c r="N34" s="4">
        <f t="shared" si="6"/>
        <v>184298.90508021388</v>
      </c>
      <c r="O34" s="5">
        <f t="shared" si="7"/>
        <v>184.2989050802139</v>
      </c>
      <c r="P34" s="6">
        <f t="shared" si="8"/>
        <v>0.18429890508021388</v>
      </c>
      <c r="Q34" s="4">
        <f t="shared" si="27"/>
        <v>5.4259682094408646E-3</v>
      </c>
      <c r="R34" s="5">
        <f t="shared" si="28"/>
        <v>5.4259682094408648</v>
      </c>
      <c r="S34" s="7">
        <f t="shared" si="29"/>
        <v>5425.9682094408645</v>
      </c>
      <c r="T34" s="4">
        <f t="shared" si="30"/>
        <v>3.4092363730782367E-3</v>
      </c>
      <c r="U34" s="5">
        <f t="shared" si="31"/>
        <v>3.4092363730782367</v>
      </c>
      <c r="V34" s="6">
        <f t="shared" si="32"/>
        <v>3409.2363730782367</v>
      </c>
      <c r="W34" s="4">
        <f t="shared" si="33"/>
        <v>2.2440000000000002E-2</v>
      </c>
      <c r="X34" s="5">
        <f t="shared" si="34"/>
        <v>22.44</v>
      </c>
      <c r="Y34" s="7">
        <f t="shared" si="35"/>
        <v>22440</v>
      </c>
      <c r="Z34" s="4">
        <f t="shared" si="36"/>
        <v>2.6040509238172371E-2</v>
      </c>
      <c r="AA34" s="5">
        <f t="shared" si="37"/>
        <v>26.040509238172369</v>
      </c>
      <c r="AB34" s="9">
        <f t="shared" si="38"/>
        <v>26040.50923817237</v>
      </c>
    </row>
    <row r="35" spans="1:28">
      <c r="A35" s="3">
        <v>13</v>
      </c>
      <c r="B35" s="4">
        <f>O35*POWER(10,9+8-15)*2.99792</f>
        <v>55251.36580800001</v>
      </c>
      <c r="C35" s="5">
        <f>O35*POWER(10,6+8-15)*2.99792</f>
        <v>55.251365808000003</v>
      </c>
      <c r="D35" s="6">
        <f>O35*POWER(10,3+8-15)*2.99792</f>
        <v>5.5251365808000011E-2</v>
      </c>
      <c r="E35" s="4">
        <f>IF(ISERROR(1/C35)=FALSE,1/C35*POWER(10,6-5),"∞")</f>
        <v>0.18099100092385537</v>
      </c>
      <c r="F35" s="5">
        <f>IF(ISERROR(1/C35)=FALSE,1/C35*POWER(10,6-2),"∞")</f>
        <v>180.99100092385535</v>
      </c>
      <c r="G35" s="7">
        <f>IF(ISERROR(1/C35)=FALSE,1/C35*POWER(10,6+1),"∞")</f>
        <v>180991.00092385538</v>
      </c>
      <c r="H35" s="4">
        <f>IF(ISERROR(1/C35)=FALSE,2*PI()*F35/10000,"∞")</f>
        <v>0.11371999977364949</v>
      </c>
      <c r="I35" s="5">
        <f>IF(ISERROR(1/C35)=FALSE,2*PI()*F35/10,"∞")</f>
        <v>113.71999977364949</v>
      </c>
      <c r="J35" s="6">
        <f>IF(ISERROR(1/C35)=FALSE,2*PI()*F35*100,"∞")</f>
        <v>113719.99977364948</v>
      </c>
      <c r="K35" s="4">
        <f>IF(ISERROR(1/C35)=FALSE,4.13566743*POWER(10,-15+8+2)*F35*2.99792,"∞")</f>
        <v>2.2439988442693664E-2</v>
      </c>
      <c r="L35" s="5">
        <f>IF(ISERROR(1/C35)=FALSE,4.13566743*POWER(10,-15+8+2+3)*F35*2.99792,"∞")</f>
        <v>22.439988442693661</v>
      </c>
      <c r="M35" s="8">
        <f>IF(ISERROR(1/C35)=FALSE,4.13566743*POWER(10,-15+8+2+6)*F35*2.99792,"∞")</f>
        <v>22439.988442693659</v>
      </c>
      <c r="N35" s="18">
        <v>184299</v>
      </c>
      <c r="O35" s="5">
        <f>N35/1000</f>
        <v>184.29900000000001</v>
      </c>
      <c r="P35" s="6">
        <f>O35/1000</f>
        <v>0.18429900000000002</v>
      </c>
      <c r="Q35" s="4">
        <f>IF(ISERROR(1/O35)=FALSE,1/O35*POWER(10,15-15),"∞")</f>
        <v>5.4259654148964449E-3</v>
      </c>
      <c r="R35" s="5">
        <f>IF(ISERROR(1/O35)=FALSE,1/O35*POWER(10,15-12),"∞")</f>
        <v>5.4259654148964449</v>
      </c>
      <c r="S35" s="7">
        <f>IF(ISERROR(1/O35)=FALSE,1/O35*POWER(10,15-9),"∞")</f>
        <v>5425.9654148964446</v>
      </c>
      <c r="T35" s="4">
        <f>IF(ISERROR(1/O35)=FALSE,2*PI()*R35/10000,"∞")</f>
        <v>3.4092346172141931E-3</v>
      </c>
      <c r="U35" s="5">
        <f>IF(ISERROR(1/O35)=FALSE,2*PI()*R35/10,"∞")</f>
        <v>3.4092346172141932</v>
      </c>
      <c r="V35" s="6">
        <f>IF(ISERROR(1/O35)=FALSE,2*PI()*R35*100,"∞")</f>
        <v>3409.2346172141929</v>
      </c>
      <c r="W35" s="4">
        <f>IF(ISERROR(1/O35)=FALSE,4.13566743*POWER(10,-15+12)*R35,"∞")</f>
        <v>2.2439988442693664E-2</v>
      </c>
      <c r="X35" s="5">
        <f>IF(ISERROR(1/O35)=FALSE,4.13566743*POWER(10,-15+12+3)*R35,"∞")</f>
        <v>22.439988442693664</v>
      </c>
      <c r="Y35" s="7">
        <f>IF(ISERROR(1/O35)=FALSE,4.13566743*POWER(10,-15+12+6)*R35,"∞")</f>
        <v>22439.988442693662</v>
      </c>
      <c r="Z35" s="4">
        <f>IF(ISERROR(1/O35)=FALSE,X35*POWER(10,-3+5-4)/8.617343,"∞")</f>
        <v>2.6040495826490446E-2</v>
      </c>
      <c r="AA35" s="5">
        <f>IF(ISERROR(1/O35)=FALSE,X35*POWER(10,-3+5-1)/8.617343,"∞")</f>
        <v>26.040495826490442</v>
      </c>
      <c r="AB35" s="9">
        <f>IF(ISERROR(1/O35)=FALSE,X35*POWER(10,-3+5+2)/8.617343,"∞")</f>
        <v>26040.495826490445</v>
      </c>
    </row>
    <row r="36" spans="1:28">
      <c r="A36" s="3">
        <v>14</v>
      </c>
      <c r="B36" s="4">
        <f>O36*POWER(10,9+8-15)*2.99792</f>
        <v>0</v>
      </c>
      <c r="C36" s="5">
        <f>O36*POWER(10,6+8-15)*2.99792</f>
        <v>0</v>
      </c>
      <c r="D36" s="6">
        <f>O36*POWER(10,3+8-15)*2.99792</f>
        <v>0</v>
      </c>
      <c r="E36" s="4" t="str">
        <f>IF(ISERROR(1/C36)=FALSE,1/C36*POWER(10,6-5),"∞")</f>
        <v>∞</v>
      </c>
      <c r="F36" s="5" t="str">
        <f>IF(ISERROR(1/C36)=FALSE,1/C36*POWER(10,6-2),"∞")</f>
        <v>∞</v>
      </c>
      <c r="G36" s="7" t="str">
        <f>IF(ISERROR(1/C36)=FALSE,1/C36*POWER(10,6+1),"∞")</f>
        <v>∞</v>
      </c>
      <c r="H36" s="4" t="str">
        <f>IF(ISERROR(1/C36)=FALSE,2*PI()*F36/10000,"∞")</f>
        <v>∞</v>
      </c>
      <c r="I36" s="5" t="str">
        <f>IF(ISERROR(1/C36)=FALSE,2*PI()*F36/10,"∞")</f>
        <v>∞</v>
      </c>
      <c r="J36" s="6" t="str">
        <f>IF(ISERROR(1/C36)=FALSE,2*PI()*F36*100,"∞")</f>
        <v>∞</v>
      </c>
      <c r="K36" s="4" t="str">
        <f>IF(ISERROR(1/C36)=FALSE,4.13566743*POWER(10,-15+8+2)*F36*2.99792,"∞")</f>
        <v>∞</v>
      </c>
      <c r="L36" s="5" t="str">
        <f>IF(ISERROR(1/C36)=FALSE,4.13566743*POWER(10,-15+8+2+3)*F36*2.99792,"∞")</f>
        <v>∞</v>
      </c>
      <c r="M36" s="8" t="str">
        <f>IF(ISERROR(1/C36)=FALSE,4.13566743*POWER(10,-15+8+2+6)*F36*2.99792,"∞")</f>
        <v>∞</v>
      </c>
      <c r="N36" s="4">
        <f>O36*1000</f>
        <v>0</v>
      </c>
      <c r="O36" s="19">
        <v>0</v>
      </c>
      <c r="P36" s="6">
        <f>O36/1000</f>
        <v>0</v>
      </c>
      <c r="Q36" s="4" t="str">
        <f>IF(ISERROR(1/O36)=FALSE,1/O36*POWER(10,15-15),"∞")</f>
        <v>∞</v>
      </c>
      <c r="R36" s="5" t="str">
        <f>IF(ISERROR(1/O36)=FALSE,1/O36*POWER(10,15-12),"∞")</f>
        <v>∞</v>
      </c>
      <c r="S36" s="7" t="str">
        <f>IF(ISERROR(1/O36)=FALSE,1/O36*POWER(10,15-9),"∞")</f>
        <v>∞</v>
      </c>
      <c r="T36" s="4" t="str">
        <f>IF(ISERROR(1/O36)=FALSE,2*PI()*R36/10000,"∞")</f>
        <v>∞</v>
      </c>
      <c r="U36" s="5" t="str">
        <f>IF(ISERROR(1/O36)=FALSE,2*PI()*R36/10,"∞")</f>
        <v>∞</v>
      </c>
      <c r="V36" s="6" t="str">
        <f>IF(ISERROR(1/O36)=FALSE,2*PI()*R36*100,"∞")</f>
        <v>∞</v>
      </c>
      <c r="W36" s="4" t="str">
        <f>IF(ISERROR(1/O36)=FALSE,4.13566743*POWER(10,-15+12)*R36,"∞")</f>
        <v>∞</v>
      </c>
      <c r="X36" s="5" t="str">
        <f>IF(ISERROR(1/O36)=FALSE,4.13566743*POWER(10,-15+12+3)*R36,"∞")</f>
        <v>∞</v>
      </c>
      <c r="Y36" s="7" t="str">
        <f>IF(ISERROR(1/O36)=FALSE,4.13566743*POWER(10,-15+12+6)*R36,"∞")</f>
        <v>∞</v>
      </c>
      <c r="Z36" s="4" t="str">
        <f>IF(ISERROR(1/O36)=FALSE,X36*POWER(10,-3+5-4)/8.617343,"∞")</f>
        <v>∞</v>
      </c>
      <c r="AA36" s="5" t="str">
        <f>IF(ISERROR(1/O36)=FALSE,X36*POWER(10,-3+5-1)/8.617343,"∞")</f>
        <v>∞</v>
      </c>
      <c r="AB36" s="9" t="str">
        <f>IF(ISERROR(1/O36)=FALSE,X36*POWER(10,-3+5+2)/8.617343,"∞")</f>
        <v>∞</v>
      </c>
    </row>
    <row r="37" spans="1:28">
      <c r="A37" s="3">
        <v>15</v>
      </c>
      <c r="B37" s="4">
        <f>O37*POWER(10,9+8-15)*2.99792</f>
        <v>0</v>
      </c>
      <c r="C37" s="5">
        <f>O37*POWER(10,6+8-15)*2.99792</f>
        <v>0</v>
      </c>
      <c r="D37" s="6">
        <f>O37*POWER(10,3+8-15)*2.99792</f>
        <v>0</v>
      </c>
      <c r="E37" s="4" t="str">
        <f>IF(ISERROR(1/C37)=FALSE,1/C37*POWER(10,6-5),"∞")</f>
        <v>∞</v>
      </c>
      <c r="F37" s="5" t="str">
        <f>IF(ISERROR(1/C37)=FALSE,1/C37*POWER(10,6-2),"∞")</f>
        <v>∞</v>
      </c>
      <c r="G37" s="7" t="str">
        <f>IF(ISERROR(1/C37)=FALSE,1/C37*POWER(10,6+1),"∞")</f>
        <v>∞</v>
      </c>
      <c r="H37" s="4" t="str">
        <f>IF(ISERROR(1/C37)=FALSE,2*PI()*F37/10000,"∞")</f>
        <v>∞</v>
      </c>
      <c r="I37" s="5" t="str">
        <f>IF(ISERROR(1/C37)=FALSE,2*PI()*F37/10,"∞")</f>
        <v>∞</v>
      </c>
      <c r="J37" s="6" t="str">
        <f>IF(ISERROR(1/C37)=FALSE,2*PI()*F37*100,"∞")</f>
        <v>∞</v>
      </c>
      <c r="K37" s="4" t="str">
        <f>IF(ISERROR(1/C37)=FALSE,4.13566743*POWER(10,-15+8+2)*F37*2.99792,"∞")</f>
        <v>∞</v>
      </c>
      <c r="L37" s="5" t="str">
        <f>IF(ISERROR(1/C37)=FALSE,4.13566743*POWER(10,-15+8+2+3)*F37*2.99792,"∞")</f>
        <v>∞</v>
      </c>
      <c r="M37" s="8" t="str">
        <f>IF(ISERROR(1/C37)=FALSE,4.13566743*POWER(10,-15+8+2+6)*F37*2.99792,"∞")</f>
        <v>∞</v>
      </c>
      <c r="N37" s="4">
        <f>O37*1000</f>
        <v>0</v>
      </c>
      <c r="O37" s="5">
        <f>P37*1000</f>
        <v>0</v>
      </c>
      <c r="P37" s="20">
        <v>0</v>
      </c>
      <c r="Q37" s="4" t="str">
        <f>IF(ISERROR(1/O37)=FALSE,1/O37*POWER(10,15-15),"∞")</f>
        <v>∞</v>
      </c>
      <c r="R37" s="5" t="str">
        <f>IF(ISERROR(1/O37)=FALSE,1/O37*POWER(10,15-12),"∞")</f>
        <v>∞</v>
      </c>
      <c r="S37" s="7" t="str">
        <f>IF(ISERROR(1/O37)=FALSE,1/O37*POWER(10,15-9),"∞")</f>
        <v>∞</v>
      </c>
      <c r="T37" s="4" t="str">
        <f>IF(ISERROR(1/O37)=FALSE,2*PI()*R37/10000,"∞")</f>
        <v>∞</v>
      </c>
      <c r="U37" s="5" t="str">
        <f>IF(ISERROR(1/O37)=FALSE,2*PI()*R37/10,"∞")</f>
        <v>∞</v>
      </c>
      <c r="V37" s="6" t="str">
        <f>IF(ISERROR(1/O37)=FALSE,2*PI()*R37*100,"∞")</f>
        <v>∞</v>
      </c>
      <c r="W37" s="4" t="str">
        <f>IF(ISERROR(1/O37)=FALSE,4.13566743*POWER(10,-15+12)*R37,"∞")</f>
        <v>∞</v>
      </c>
      <c r="X37" s="5" t="str">
        <f>IF(ISERROR(1/O37)=FALSE,4.13566743*POWER(10,-15+12+3)*R37,"∞")</f>
        <v>∞</v>
      </c>
      <c r="Y37" s="7" t="str">
        <f>IF(ISERROR(1/O37)=FALSE,4.13566743*POWER(10,-15+12+6)*R37,"∞")</f>
        <v>∞</v>
      </c>
      <c r="Z37" s="4" t="str">
        <f>IF(ISERROR(1/O37)=FALSE,X37*POWER(10,-3+5-4)/8.617343,"∞")</f>
        <v>∞</v>
      </c>
      <c r="AA37" s="5" t="str">
        <f>IF(ISERROR(1/O37)=FALSE,X37*POWER(10,-3+5-1)/8.617343,"∞")</f>
        <v>∞</v>
      </c>
      <c r="AB37" s="9" t="str">
        <f>IF(ISERROR(1/O37)=FALSE,X37*POWER(10,-3+5+2)/8.617343,"∞")</f>
        <v>∞</v>
      </c>
    </row>
    <row r="38" spans="1:28">
      <c r="A38" s="3">
        <v>16</v>
      </c>
      <c r="B38" s="4" t="str">
        <f t="shared" ref="B38:B49" si="39">IF(ISERROR(1/R38)=FALSE,O38*POWER(10,9+8-15)*2.99792,"∞")</f>
        <v>∞</v>
      </c>
      <c r="C38" s="5" t="str">
        <f t="shared" ref="C38:C49" si="40">IF(ISERROR(1/R38)=FALSE,O38*POWER(10,6+8-15)*2.99792,"∞")</f>
        <v>∞</v>
      </c>
      <c r="D38" s="6" t="str">
        <f t="shared" ref="D38:D49" si="41">IF(ISERROR(1/R38)=FALSE,O38*POWER(10,3+8-15)*2.99792,"∞")</f>
        <v>∞</v>
      </c>
      <c r="E38" s="4">
        <f t="shared" ref="E38:E49" si="42">IF(ISERROR(1/C38)=FALSE,1/C38*POWER(10,6-5),0)</f>
        <v>0</v>
      </c>
      <c r="F38" s="5">
        <f t="shared" ref="F38:F49" si="43">IF(ISERROR(1/C38)=FALSE,1/C38*POWER(10,6-2),0)</f>
        <v>0</v>
      </c>
      <c r="G38" s="7">
        <f t="shared" ref="G38:G49" si="44">IF(ISERROR(1/C38)=FALSE,1/C38*POWER(10,6+1),0)</f>
        <v>0</v>
      </c>
      <c r="H38" s="4">
        <f t="shared" ref="H38:H49" si="45">IF(ISERROR(1/C38)=FALSE,2*PI()*F38/10000,0)</f>
        <v>0</v>
      </c>
      <c r="I38" s="5">
        <f t="shared" ref="I38:I49" si="46">IF(ISERROR(1/C38)=FALSE,2*PI()*F38/10,0)</f>
        <v>0</v>
      </c>
      <c r="J38" s="6">
        <f t="shared" ref="J38:J49" si="47">IF(ISERROR(1/C38)=FALSE,2*PI()*F38*100,0)</f>
        <v>0</v>
      </c>
      <c r="K38" s="4">
        <f>IF(ISERROR(1/C38)=FALSE,4.13566743*POWER(10,-15+8+2)*F38*2.99792,0)</f>
        <v>0</v>
      </c>
      <c r="L38" s="5">
        <f>IF(ISERROR(1/C38)=FALSE,4.13566743*POWER(10,-15+8+2+3)*F38*2.99792,0)</f>
        <v>0</v>
      </c>
      <c r="M38" s="8">
        <f>IF(ISERROR(1/C38)=FALSE,4.13566743*POWER(10,-15+8+2+6)*F38*2.99792,0)</f>
        <v>0</v>
      </c>
      <c r="N38" s="4" t="str">
        <f t="shared" ref="N38:N49" si="48">IF(ISERROR(1/R38)=FALSE,1/R38*POWER(10,18-12),"∞")</f>
        <v>∞</v>
      </c>
      <c r="O38" s="5" t="str">
        <f t="shared" ref="O38:O49" si="49">IF(ISERROR(1/R38)=FALSE,1/R38*POWER(10,15-12),"∞")</f>
        <v>∞</v>
      </c>
      <c r="P38" s="6" t="str">
        <f t="shared" ref="P38:P49" si="50">IF(ISERROR(1/R38)=FALSE,1/R38*POWER(10,12-12),"∞")</f>
        <v>∞</v>
      </c>
      <c r="Q38" s="18">
        <v>0</v>
      </c>
      <c r="R38" s="5">
        <f>Q38*1000</f>
        <v>0</v>
      </c>
      <c r="S38" s="7">
        <f>R38*1000</f>
        <v>0</v>
      </c>
      <c r="T38" s="4">
        <f>2*PI()*R38/10000</f>
        <v>0</v>
      </c>
      <c r="U38" s="5">
        <f>2*PI()*R38/10</f>
        <v>0</v>
      </c>
      <c r="V38" s="6">
        <f>2*PI()*R38*100</f>
        <v>0</v>
      </c>
      <c r="W38" s="4">
        <f t="shared" ref="W38:W43" si="51">4.13566743*POWER(10,-15+12)*R38</f>
        <v>0</v>
      </c>
      <c r="X38" s="5">
        <f t="shared" ref="X38:X43" si="52">4.13566743*POWER(10,-15+12+3)*R38</f>
        <v>0</v>
      </c>
      <c r="Y38" s="7">
        <f t="shared" ref="Y38:Y43" si="53">4.13566743*POWER(10,-15+12+6)*R38</f>
        <v>0</v>
      </c>
      <c r="Z38" s="4">
        <f t="shared" ref="Z38:Z46" si="54">X38*POWER(10,-3+5-4)/8.617343</f>
        <v>0</v>
      </c>
      <c r="AA38" s="5">
        <f t="shared" ref="AA38:AA46" si="55">X38*POWER(10,-3+5-1)/8.617343</f>
        <v>0</v>
      </c>
      <c r="AB38" s="9">
        <f t="shared" ref="AB38:AB46" si="56">X38*POWER(10,-3+5+2)/8.617343</f>
        <v>0</v>
      </c>
    </row>
    <row r="39" spans="1:28">
      <c r="A39" s="3">
        <v>17</v>
      </c>
      <c r="B39" s="4">
        <f t="shared" si="39"/>
        <v>119916.8</v>
      </c>
      <c r="C39" s="5">
        <f t="shared" si="40"/>
        <v>119.91680000000001</v>
      </c>
      <c r="D39" s="6">
        <f t="shared" si="41"/>
        <v>0.1199168</v>
      </c>
      <c r="E39" s="4">
        <f t="shared" si="42"/>
        <v>8.3391151198164065E-2</v>
      </c>
      <c r="F39" s="5">
        <f t="shared" si="43"/>
        <v>83.391151198164067</v>
      </c>
      <c r="G39" s="7">
        <f t="shared" si="44"/>
        <v>83391.151198164065</v>
      </c>
      <c r="H39" s="4">
        <f t="shared" si="45"/>
        <v>5.239620559570958E-2</v>
      </c>
      <c r="I39" s="5">
        <f t="shared" si="46"/>
        <v>52.396205595709581</v>
      </c>
      <c r="J39" s="6">
        <f t="shared" si="47"/>
        <v>52396.20559570958</v>
      </c>
      <c r="K39" s="4">
        <f>IF(ISERROR(1/C39)=FALSE,4.13566743*POWER(10,-15+8+2)*F39*2.99792,0)</f>
        <v>1.0339168575000002E-2</v>
      </c>
      <c r="L39" s="5">
        <f>IF(ISERROR(1/C39)=FALSE,4.13566743*POWER(10,-15+8+2+3)*F39*2.99792,0)</f>
        <v>10.339168575000002</v>
      </c>
      <c r="M39" s="8">
        <f>IF(ISERROR(1/C39)=FALSE,4.13566743*POWER(10,-15+8+2+6)*F39*2.99792,0)</f>
        <v>10339.168575</v>
      </c>
      <c r="N39" s="4">
        <f t="shared" si="48"/>
        <v>400000</v>
      </c>
      <c r="O39" s="5">
        <f t="shared" si="49"/>
        <v>400</v>
      </c>
      <c r="P39" s="6">
        <f t="shared" si="50"/>
        <v>0.4</v>
      </c>
      <c r="Q39" s="4">
        <f>R39/1000</f>
        <v>2.5000000000000001E-3</v>
      </c>
      <c r="R39" s="19">
        <v>2.5</v>
      </c>
      <c r="S39" s="7">
        <f>R39*1000</f>
        <v>2500</v>
      </c>
      <c r="T39" s="4">
        <f>2*PI()*R39/10000</f>
        <v>1.5707963267948967E-3</v>
      </c>
      <c r="U39" s="5">
        <f>2*PI()*R39/10</f>
        <v>1.5707963267948966</v>
      </c>
      <c r="V39" s="6">
        <f>2*PI()*R39*100</f>
        <v>1570.7963267948965</v>
      </c>
      <c r="W39" s="4">
        <f t="shared" si="51"/>
        <v>1.0339168575E-2</v>
      </c>
      <c r="X39" s="5">
        <f t="shared" si="52"/>
        <v>10.339168574999999</v>
      </c>
      <c r="Y39" s="7">
        <f t="shared" si="53"/>
        <v>10339.168575</v>
      </c>
      <c r="Z39" s="4">
        <f t="shared" si="54"/>
        <v>1.1998093350815905E-2</v>
      </c>
      <c r="AA39" s="5">
        <f t="shared" si="55"/>
        <v>11.998093350815907</v>
      </c>
      <c r="AB39" s="9">
        <f t="shared" si="56"/>
        <v>11998.093350815905</v>
      </c>
    </row>
    <row r="40" spans="1:28">
      <c r="A40" s="3">
        <v>18</v>
      </c>
      <c r="B40" s="4">
        <f t="shared" si="39"/>
        <v>55210.313075506441</v>
      </c>
      <c r="C40" s="5">
        <f t="shared" si="40"/>
        <v>55.210313075506448</v>
      </c>
      <c r="D40" s="6">
        <f t="shared" si="41"/>
        <v>5.5210313075506452E-2</v>
      </c>
      <c r="E40" s="4">
        <f t="shared" si="42"/>
        <v>0.18112558040241231</v>
      </c>
      <c r="F40" s="5">
        <f t="shared" si="43"/>
        <v>181.12558040241231</v>
      </c>
      <c r="G40" s="7">
        <f t="shared" si="44"/>
        <v>181125.58040241231</v>
      </c>
      <c r="H40" s="4">
        <f t="shared" si="45"/>
        <v>0.11380455855388118</v>
      </c>
      <c r="I40" s="5">
        <f t="shared" si="46"/>
        <v>113.80455855388118</v>
      </c>
      <c r="J40" s="6">
        <f t="shared" si="47"/>
        <v>113804.55855388119</v>
      </c>
      <c r="K40" s="4">
        <f t="shared" ref="K40:K49" si="57">IF(ISERROR(1/C40)=FALSE,4.13566743*POWER(10,-15+8+2)*F40*2.99792,0)</f>
        <v>2.2456674144899998E-2</v>
      </c>
      <c r="L40" s="5">
        <f t="shared" ref="L40:L49" si="58">IF(ISERROR(1/C40)=FALSE,4.13566743*POWER(10,-15+8+2+3)*F40*2.99792,0)</f>
        <v>22.456674144899999</v>
      </c>
      <c r="M40" s="8">
        <f t="shared" ref="M40:M49" si="59">IF(ISERROR(1/C40)=FALSE,4.13566743*POWER(10,-15+8+2+6)*F40*2.99792,0)</f>
        <v>22456.674144899993</v>
      </c>
      <c r="N40" s="4">
        <f t="shared" si="48"/>
        <v>184162.06261510128</v>
      </c>
      <c r="O40" s="5">
        <f t="shared" si="49"/>
        <v>184.16206261510129</v>
      </c>
      <c r="P40" s="6">
        <f t="shared" si="50"/>
        <v>0.18416206261510129</v>
      </c>
      <c r="Q40" s="4">
        <f>R40/1000</f>
        <v>5.4299999999999999E-3</v>
      </c>
      <c r="R40" s="5">
        <f>S40/1000</f>
        <v>5.43</v>
      </c>
      <c r="S40" s="21">
        <v>5430</v>
      </c>
      <c r="T40" s="4">
        <f>2*PI()*R40/10000</f>
        <v>3.4117696217985148E-3</v>
      </c>
      <c r="U40" s="5">
        <f>2*PI()*R40/10</f>
        <v>3.411769621798515</v>
      </c>
      <c r="V40" s="6">
        <f>2*PI()*R40*100</f>
        <v>3411.7696217985149</v>
      </c>
      <c r="W40" s="4">
        <f t="shared" si="51"/>
        <v>2.2456674144899998E-2</v>
      </c>
      <c r="X40" s="5">
        <f t="shared" si="52"/>
        <v>22.456674144899999</v>
      </c>
      <c r="Y40" s="7">
        <f t="shared" si="53"/>
        <v>22456.674144899996</v>
      </c>
      <c r="Z40" s="4">
        <f t="shared" si="54"/>
        <v>2.6059858757972149E-2</v>
      </c>
      <c r="AA40" s="5">
        <f t="shared" si="55"/>
        <v>26.059858757972151</v>
      </c>
      <c r="AB40" s="9">
        <f t="shared" si="56"/>
        <v>26059.85875797215</v>
      </c>
    </row>
    <row r="41" spans="1:28">
      <c r="A41" s="3">
        <v>19</v>
      </c>
      <c r="B41" s="4">
        <f t="shared" si="39"/>
        <v>78.813752703346552</v>
      </c>
      <c r="C41" s="5">
        <f t="shared" si="40"/>
        <v>7.8813752703346548E-2</v>
      </c>
      <c r="D41" s="6">
        <f t="shared" si="41"/>
        <v>7.8813752703346557E-5</v>
      </c>
      <c r="E41" s="4">
        <f t="shared" si="42"/>
        <v>126.88140910685738</v>
      </c>
      <c r="F41" s="5">
        <f t="shared" si="43"/>
        <v>126881.40910685738</v>
      </c>
      <c r="G41" s="7">
        <f t="shared" si="44"/>
        <v>126881409.10685737</v>
      </c>
      <c r="H41" s="4">
        <f t="shared" si="45"/>
        <v>79.721940545444838</v>
      </c>
      <c r="I41" s="5">
        <f t="shared" si="46"/>
        <v>79721.940545444842</v>
      </c>
      <c r="J41" s="6">
        <f t="shared" si="47"/>
        <v>79721940.545444846</v>
      </c>
      <c r="K41" s="4">
        <f t="shared" si="57"/>
        <v>15.731264755800856</v>
      </c>
      <c r="L41" s="5">
        <f t="shared" si="58"/>
        <v>15731.264755800858</v>
      </c>
      <c r="M41" s="8">
        <f t="shared" si="59"/>
        <v>15731264.755800854</v>
      </c>
      <c r="N41" s="4">
        <f t="shared" si="48"/>
        <v>262.89478272717929</v>
      </c>
      <c r="O41" s="5">
        <f t="shared" si="49"/>
        <v>0.26289478272717931</v>
      </c>
      <c r="P41" s="6">
        <f t="shared" si="50"/>
        <v>2.628947827271793E-4</v>
      </c>
      <c r="Q41" s="4">
        <f>U41/2/PI()/100</f>
        <v>3.8038031398962988</v>
      </c>
      <c r="R41" s="5">
        <f>U41/2/PI()*10</f>
        <v>3803.8031398962989</v>
      </c>
      <c r="S41" s="7">
        <f>U41/2/PI()*10000</f>
        <v>3803803.1398962988</v>
      </c>
      <c r="T41" s="18">
        <v>2.39</v>
      </c>
      <c r="U41" s="5">
        <f>T41*1000</f>
        <v>2390</v>
      </c>
      <c r="V41" s="6">
        <f>U41*1000</f>
        <v>2390000</v>
      </c>
      <c r="W41" s="4">
        <f t="shared" si="51"/>
        <v>15.731264755800858</v>
      </c>
      <c r="X41" s="5">
        <f t="shared" si="52"/>
        <v>15731.264755800856</v>
      </c>
      <c r="Y41" s="7">
        <f t="shared" si="53"/>
        <v>15731264.755800854</v>
      </c>
      <c r="Z41" s="4">
        <f t="shared" si="54"/>
        <v>18.255354064240979</v>
      </c>
      <c r="AA41" s="5">
        <f t="shared" si="55"/>
        <v>18255.354064240979</v>
      </c>
      <c r="AB41" s="9">
        <f t="shared" si="56"/>
        <v>18255354.064240981</v>
      </c>
    </row>
    <row r="42" spans="1:28">
      <c r="A42" s="3">
        <v>20</v>
      </c>
      <c r="B42" s="4">
        <f t="shared" si="39"/>
        <v>3363.6583743035403</v>
      </c>
      <c r="C42" s="5">
        <f t="shared" si="40"/>
        <v>3.3636583743035398</v>
      </c>
      <c r="D42" s="6">
        <f t="shared" si="41"/>
        <v>3.3636583743035403E-3</v>
      </c>
      <c r="E42" s="4">
        <f t="shared" si="42"/>
        <v>2.9729535188217633</v>
      </c>
      <c r="F42" s="5">
        <f t="shared" si="43"/>
        <v>2972.9535188217633</v>
      </c>
      <c r="G42" s="7">
        <f t="shared" si="44"/>
        <v>2972953.5188217633</v>
      </c>
      <c r="H42" s="4">
        <f t="shared" si="45"/>
        <v>1.8679617868388751</v>
      </c>
      <c r="I42" s="5">
        <f t="shared" si="46"/>
        <v>1867.9617868388752</v>
      </c>
      <c r="J42" s="6">
        <f t="shared" si="47"/>
        <v>1867961.7868388752</v>
      </c>
      <c r="K42" s="4">
        <f t="shared" si="57"/>
        <v>0.36859867210244696</v>
      </c>
      <c r="L42" s="5">
        <f t="shared" si="58"/>
        <v>368.59867210244693</v>
      </c>
      <c r="M42" s="8">
        <f t="shared" si="59"/>
        <v>368598.67210244684</v>
      </c>
      <c r="N42" s="4">
        <f t="shared" si="48"/>
        <v>11219.973762820688</v>
      </c>
      <c r="O42" s="5">
        <f t="shared" si="49"/>
        <v>11.219973762820688</v>
      </c>
      <c r="P42" s="6">
        <f t="shared" si="50"/>
        <v>1.1219973762820688E-2</v>
      </c>
      <c r="Q42" s="4">
        <f>U42/2/PI()/100</f>
        <v>8.9126768131461406E-2</v>
      </c>
      <c r="R42" s="5">
        <f>U42/2/PI()*10</f>
        <v>89.126768131461404</v>
      </c>
      <c r="S42" s="7">
        <f>U42/2/PI()*10000</f>
        <v>89126.768131461402</v>
      </c>
      <c r="T42" s="4">
        <f>U42/1000</f>
        <v>5.6000000000000001E-2</v>
      </c>
      <c r="U42" s="19">
        <v>56</v>
      </c>
      <c r="V42" s="6">
        <f>U42*1000</f>
        <v>56000</v>
      </c>
      <c r="W42" s="4">
        <f t="shared" si="51"/>
        <v>0.3685986721024469</v>
      </c>
      <c r="X42" s="5">
        <f t="shared" si="52"/>
        <v>368.59867210244687</v>
      </c>
      <c r="Y42" s="7">
        <f t="shared" si="53"/>
        <v>368598.67210244684</v>
      </c>
      <c r="Z42" s="4">
        <f t="shared" si="54"/>
        <v>0.42774051363911925</v>
      </c>
      <c r="AA42" s="5">
        <f t="shared" si="55"/>
        <v>427.74051363911923</v>
      </c>
      <c r="AB42" s="9">
        <f t="shared" si="56"/>
        <v>427740.51363911922</v>
      </c>
    </row>
    <row r="43" spans="1:28">
      <c r="A43" s="3">
        <v>21</v>
      </c>
      <c r="B43" s="4">
        <f t="shared" si="39"/>
        <v>55238.964504691568</v>
      </c>
      <c r="C43" s="5">
        <f t="shared" si="40"/>
        <v>55.238964504691573</v>
      </c>
      <c r="D43" s="6">
        <f t="shared" si="41"/>
        <v>5.5238964504691575E-2</v>
      </c>
      <c r="E43" s="4">
        <f t="shared" si="42"/>
        <v>0.18103163391396807</v>
      </c>
      <c r="F43" s="5">
        <f t="shared" si="43"/>
        <v>181.03163391396805</v>
      </c>
      <c r="G43" s="7">
        <f t="shared" si="44"/>
        <v>181031.63391396805</v>
      </c>
      <c r="H43" s="4">
        <f t="shared" si="45"/>
        <v>0.11374553023429577</v>
      </c>
      <c r="I43" s="5">
        <f t="shared" si="46"/>
        <v>113.74553023429579</v>
      </c>
      <c r="J43" s="6">
        <f t="shared" si="47"/>
        <v>113745.53023429577</v>
      </c>
      <c r="K43" s="4">
        <f t="shared" si="57"/>
        <v>2.2445026283381138E-2</v>
      </c>
      <c r="L43" s="5">
        <f t="shared" si="58"/>
        <v>22.445026283381136</v>
      </c>
      <c r="M43" s="8">
        <f t="shared" si="59"/>
        <v>22445.026283381136</v>
      </c>
      <c r="N43" s="4">
        <f t="shared" si="48"/>
        <v>184257.63364163009</v>
      </c>
      <c r="O43" s="5">
        <f t="shared" si="49"/>
        <v>184.25763364163009</v>
      </c>
      <c r="P43" s="6">
        <f t="shared" si="50"/>
        <v>0.18425763364163009</v>
      </c>
      <c r="Q43" s="4">
        <f>U43/2/PI()/100</f>
        <v>5.4271835594336317E-3</v>
      </c>
      <c r="R43" s="5">
        <f>U43/2/PI()*10</f>
        <v>5.4271835594336313</v>
      </c>
      <c r="S43" s="7">
        <f>U43/2/PI()*10000</f>
        <v>5427.1835594336317</v>
      </c>
      <c r="T43" s="4">
        <f>U43/1000</f>
        <v>3.4100000000000003E-3</v>
      </c>
      <c r="U43" s="5">
        <f>V43/1000</f>
        <v>3.41</v>
      </c>
      <c r="V43" s="20">
        <v>3410</v>
      </c>
      <c r="W43" s="4">
        <f t="shared" si="51"/>
        <v>2.2445026283381138E-2</v>
      </c>
      <c r="X43" s="5">
        <f t="shared" si="52"/>
        <v>22.445026283381136</v>
      </c>
      <c r="Y43" s="7">
        <f t="shared" si="53"/>
        <v>22445.026283381136</v>
      </c>
      <c r="Z43" s="4">
        <f t="shared" si="54"/>
        <v>2.604634199123922E-2</v>
      </c>
      <c r="AA43" s="5">
        <f t="shared" si="55"/>
        <v>26.04634199123922</v>
      </c>
      <c r="AB43" s="9">
        <f t="shared" si="56"/>
        <v>26046.341991239224</v>
      </c>
    </row>
    <row r="44" spans="1:28">
      <c r="A44" s="3">
        <v>22</v>
      </c>
      <c r="B44" s="4">
        <f t="shared" si="39"/>
        <v>55226.726511116241</v>
      </c>
      <c r="C44" s="5">
        <f t="shared" si="40"/>
        <v>55.226726511116247</v>
      </c>
      <c r="D44" s="6">
        <f t="shared" si="41"/>
        <v>5.522672651111625E-2</v>
      </c>
      <c r="E44" s="4">
        <f t="shared" si="42"/>
        <v>0.18107174970776446</v>
      </c>
      <c r="F44" s="5">
        <f t="shared" si="43"/>
        <v>181.07174970776447</v>
      </c>
      <c r="G44" s="7">
        <f t="shared" si="44"/>
        <v>181071.74970776445</v>
      </c>
      <c r="H44" s="4">
        <f t="shared" si="45"/>
        <v>0.11377073573091252</v>
      </c>
      <c r="I44" s="5">
        <f t="shared" si="46"/>
        <v>113.77073573091252</v>
      </c>
      <c r="J44" s="6">
        <f t="shared" si="47"/>
        <v>113770.73573091252</v>
      </c>
      <c r="K44" s="4">
        <f t="shared" si="57"/>
        <v>2.2450000000000008E-2</v>
      </c>
      <c r="L44" s="5">
        <f t="shared" si="58"/>
        <v>22.45000000000001</v>
      </c>
      <c r="M44" s="8">
        <f t="shared" si="59"/>
        <v>22450.000000000007</v>
      </c>
      <c r="N44" s="4">
        <f t="shared" si="48"/>
        <v>184216.81202672602</v>
      </c>
      <c r="O44" s="5">
        <f t="shared" si="49"/>
        <v>184.21681202672602</v>
      </c>
      <c r="P44" s="6">
        <f t="shared" si="50"/>
        <v>0.18421681202672602</v>
      </c>
      <c r="Q44" s="4">
        <f t="shared" ref="Q44:Q49" si="60">X44/4.13566743*POWER(10,15-15-3)</f>
        <v>5.4283861988390116E-3</v>
      </c>
      <c r="R44" s="5">
        <f t="shared" ref="R44:R49" si="61">X44/4.13566743*POWER(10,15-12-3)</f>
        <v>5.4283861988390116</v>
      </c>
      <c r="S44" s="7">
        <f t="shared" ref="S44:S49" si="62">X44/4.13566743*POWER(10,15-9-3)</f>
        <v>5428.3861988390117</v>
      </c>
      <c r="T44" s="4">
        <f t="shared" ref="T44:T49" si="63">2*PI()*R44/10000</f>
        <v>3.4107556406241719E-3</v>
      </c>
      <c r="U44" s="5">
        <f t="shared" ref="U44:U49" si="64">2*PI()*R44/10</f>
        <v>3.4107556406241719</v>
      </c>
      <c r="V44" s="6">
        <f t="shared" ref="V44:V49" si="65">2*PI()*R44*100</f>
        <v>3410.755640624172</v>
      </c>
      <c r="W44" s="18">
        <v>2.2450000000000001E-2</v>
      </c>
      <c r="X44" s="5">
        <f>W44*1000</f>
        <v>22.450000000000003</v>
      </c>
      <c r="Y44" s="7">
        <f>X44*1000</f>
        <v>22450.000000000004</v>
      </c>
      <c r="Z44" s="4">
        <f t="shared" si="54"/>
        <v>2.605211374318047E-2</v>
      </c>
      <c r="AA44" s="5">
        <f t="shared" si="55"/>
        <v>26.05211374318047</v>
      </c>
      <c r="AB44" s="9">
        <f t="shared" si="56"/>
        <v>26052.113743180471</v>
      </c>
    </row>
    <row r="45" spans="1:28">
      <c r="A45" s="3">
        <v>23</v>
      </c>
      <c r="B45" s="4">
        <f t="shared" si="39"/>
        <v>55226.726511116256</v>
      </c>
      <c r="C45" s="5">
        <f t="shared" si="40"/>
        <v>55.226726511116262</v>
      </c>
      <c r="D45" s="6">
        <f t="shared" si="41"/>
        <v>5.5226726511116264E-2</v>
      </c>
      <c r="E45" s="4">
        <f t="shared" si="42"/>
        <v>0.18107174970776438</v>
      </c>
      <c r="F45" s="5">
        <f t="shared" si="43"/>
        <v>181.07174970776438</v>
      </c>
      <c r="G45" s="7">
        <f t="shared" si="44"/>
        <v>181071.74970776439</v>
      </c>
      <c r="H45" s="4">
        <f t="shared" si="45"/>
        <v>0.11377073573091248</v>
      </c>
      <c r="I45" s="5">
        <f t="shared" si="46"/>
        <v>113.77073573091248</v>
      </c>
      <c r="J45" s="6">
        <f t="shared" si="47"/>
        <v>113770.73573091248</v>
      </c>
      <c r="K45" s="4">
        <f t="shared" si="57"/>
        <v>2.2449999999999998E-2</v>
      </c>
      <c r="L45" s="5">
        <f t="shared" si="58"/>
        <v>22.45</v>
      </c>
      <c r="M45" s="8">
        <f t="shared" si="59"/>
        <v>22449.999999999996</v>
      </c>
      <c r="N45" s="4">
        <f t="shared" si="48"/>
        <v>184216.81202672605</v>
      </c>
      <c r="O45" s="5">
        <f t="shared" si="49"/>
        <v>184.21681202672605</v>
      </c>
      <c r="P45" s="6">
        <f t="shared" si="50"/>
        <v>0.18421681202672605</v>
      </c>
      <c r="Q45" s="4">
        <f t="shared" si="60"/>
        <v>5.4283861988390107E-3</v>
      </c>
      <c r="R45" s="5">
        <f t="shared" si="61"/>
        <v>5.4283861988390107</v>
      </c>
      <c r="S45" s="7">
        <f t="shared" si="62"/>
        <v>5428.3861988390108</v>
      </c>
      <c r="T45" s="4">
        <f t="shared" si="63"/>
        <v>3.4107556406241715E-3</v>
      </c>
      <c r="U45" s="5">
        <f t="shared" si="64"/>
        <v>3.4107556406241715</v>
      </c>
      <c r="V45" s="6">
        <f t="shared" si="65"/>
        <v>3410.7556406241711</v>
      </c>
      <c r="W45" s="4">
        <f>X45/1000</f>
        <v>2.2449999999999998E-2</v>
      </c>
      <c r="X45" s="19">
        <v>22.45</v>
      </c>
      <c r="Y45" s="7">
        <f>X45*1000</f>
        <v>22450</v>
      </c>
      <c r="Z45" s="4">
        <f t="shared" si="54"/>
        <v>2.6052113743180467E-2</v>
      </c>
      <c r="AA45" s="5">
        <f t="shared" si="55"/>
        <v>26.052113743180467</v>
      </c>
      <c r="AB45" s="9">
        <f t="shared" si="56"/>
        <v>26052.113743180467</v>
      </c>
    </row>
    <row r="46" spans="1:28">
      <c r="A46" s="3">
        <v>24</v>
      </c>
      <c r="B46" s="4">
        <f t="shared" si="39"/>
        <v>55226.726511116256</v>
      </c>
      <c r="C46" s="5">
        <f t="shared" si="40"/>
        <v>55.226726511116262</v>
      </c>
      <c r="D46" s="6">
        <f t="shared" si="41"/>
        <v>5.5226726511116264E-2</v>
      </c>
      <c r="E46" s="4">
        <f t="shared" si="42"/>
        <v>0.18107174970776438</v>
      </c>
      <c r="F46" s="5">
        <f t="shared" si="43"/>
        <v>181.07174970776438</v>
      </c>
      <c r="G46" s="7">
        <f t="shared" si="44"/>
        <v>181071.74970776439</v>
      </c>
      <c r="H46" s="4">
        <f t="shared" si="45"/>
        <v>0.11377073573091248</v>
      </c>
      <c r="I46" s="5">
        <f t="shared" si="46"/>
        <v>113.77073573091248</v>
      </c>
      <c r="J46" s="6">
        <f t="shared" si="47"/>
        <v>113770.73573091248</v>
      </c>
      <c r="K46" s="4">
        <f t="shared" si="57"/>
        <v>2.2449999999999998E-2</v>
      </c>
      <c r="L46" s="5">
        <f t="shared" si="58"/>
        <v>22.45</v>
      </c>
      <c r="M46" s="8">
        <f t="shared" si="59"/>
        <v>22449.999999999996</v>
      </c>
      <c r="N46" s="4">
        <f t="shared" si="48"/>
        <v>184216.81202672605</v>
      </c>
      <c r="O46" s="5">
        <f t="shared" si="49"/>
        <v>184.21681202672605</v>
      </c>
      <c r="P46" s="6">
        <f t="shared" si="50"/>
        <v>0.18421681202672605</v>
      </c>
      <c r="Q46" s="4">
        <f t="shared" si="60"/>
        <v>5.4283861988390107E-3</v>
      </c>
      <c r="R46" s="5">
        <f t="shared" si="61"/>
        <v>5.4283861988390107</v>
      </c>
      <c r="S46" s="7">
        <f t="shared" si="62"/>
        <v>5428.3861988390108</v>
      </c>
      <c r="T46" s="4">
        <f t="shared" si="63"/>
        <v>3.4107556406241715E-3</v>
      </c>
      <c r="U46" s="5">
        <f t="shared" si="64"/>
        <v>3.4107556406241715</v>
      </c>
      <c r="V46" s="6">
        <f t="shared" si="65"/>
        <v>3410.7556406241711</v>
      </c>
      <c r="W46" s="4">
        <f>X46/1000</f>
        <v>2.2449999999999998E-2</v>
      </c>
      <c r="X46" s="5">
        <f>Y46/1000</f>
        <v>22.45</v>
      </c>
      <c r="Y46" s="21">
        <v>22450</v>
      </c>
      <c r="Z46" s="4">
        <f t="shared" si="54"/>
        <v>2.6052113743180467E-2</v>
      </c>
      <c r="AA46" s="5">
        <f t="shared" si="55"/>
        <v>26.052113743180467</v>
      </c>
      <c r="AB46" s="9">
        <f t="shared" si="56"/>
        <v>26052.113743180467</v>
      </c>
    </row>
    <row r="47" spans="1:28">
      <c r="A47" s="3">
        <v>25</v>
      </c>
      <c r="B47" s="4">
        <f t="shared" si="39"/>
        <v>55231.207705609253</v>
      </c>
      <c r="C47" s="5">
        <f t="shared" si="40"/>
        <v>55.231207705609251</v>
      </c>
      <c r="D47" s="6">
        <f t="shared" si="41"/>
        <v>5.5231207705609256E-2</v>
      </c>
      <c r="E47" s="4">
        <f t="shared" si="42"/>
        <v>0.18105705841707326</v>
      </c>
      <c r="F47" s="5">
        <f t="shared" si="43"/>
        <v>181.05705841707325</v>
      </c>
      <c r="G47" s="7">
        <f t="shared" si="44"/>
        <v>181057.05841707325</v>
      </c>
      <c r="H47" s="4">
        <f t="shared" si="45"/>
        <v>0.11376150492073107</v>
      </c>
      <c r="I47" s="5">
        <f t="shared" si="46"/>
        <v>113.76150492073107</v>
      </c>
      <c r="J47" s="6">
        <f t="shared" si="47"/>
        <v>113761.50492073107</v>
      </c>
      <c r="K47" s="4">
        <f t="shared" si="57"/>
        <v>2.2448178515000004E-2</v>
      </c>
      <c r="L47" s="5">
        <f t="shared" si="58"/>
        <v>22.448178515000002</v>
      </c>
      <c r="M47" s="8">
        <f t="shared" si="59"/>
        <v>22448.178514999996</v>
      </c>
      <c r="N47" s="4">
        <f t="shared" si="48"/>
        <v>184231.75970542658</v>
      </c>
      <c r="O47" s="5">
        <f t="shared" si="49"/>
        <v>184.23175970542658</v>
      </c>
      <c r="P47" s="6">
        <f t="shared" si="50"/>
        <v>0.18423175970542657</v>
      </c>
      <c r="Q47" s="4">
        <f t="shared" si="60"/>
        <v>5.4279457656971229E-3</v>
      </c>
      <c r="R47" s="5">
        <f t="shared" si="61"/>
        <v>5.4279457656971228</v>
      </c>
      <c r="S47" s="7">
        <f t="shared" si="62"/>
        <v>5427.9457656971226</v>
      </c>
      <c r="T47" s="4">
        <f t="shared" si="63"/>
        <v>3.4104789083195812E-3</v>
      </c>
      <c r="U47" s="5">
        <f t="shared" si="64"/>
        <v>3.4104789083195812</v>
      </c>
      <c r="V47" s="6">
        <f t="shared" si="65"/>
        <v>3410.478908319581</v>
      </c>
      <c r="W47" s="4">
        <f>AA47*8.617343*POWER(10,-5+1)</f>
        <v>2.2448178515E-2</v>
      </c>
      <c r="X47" s="5">
        <f>AA47*8.617343*POWER(10,3-5+1)</f>
        <v>22.448178515000002</v>
      </c>
      <c r="Y47" s="7">
        <f>AA47*8.617343*POWER(10,6-5+1)</f>
        <v>22448.178515</v>
      </c>
      <c r="Z47" s="18">
        <v>2.605E-2</v>
      </c>
      <c r="AA47" s="5">
        <f>Z47*1000</f>
        <v>26.05</v>
      </c>
      <c r="AB47" s="9">
        <f>AA47*1000</f>
        <v>26050</v>
      </c>
    </row>
    <row r="48" spans="1:28">
      <c r="A48" s="3">
        <v>26</v>
      </c>
      <c r="B48" s="4">
        <f t="shared" si="39"/>
        <v>55231.207705609253</v>
      </c>
      <c r="C48" s="5">
        <f t="shared" si="40"/>
        <v>55.231207705609251</v>
      </c>
      <c r="D48" s="6">
        <f t="shared" si="41"/>
        <v>5.5231207705609256E-2</v>
      </c>
      <c r="E48" s="4">
        <f t="shared" si="42"/>
        <v>0.18105705841707326</v>
      </c>
      <c r="F48" s="5">
        <f t="shared" si="43"/>
        <v>181.05705841707325</v>
      </c>
      <c r="G48" s="7">
        <f t="shared" si="44"/>
        <v>181057.05841707325</v>
      </c>
      <c r="H48" s="4">
        <f t="shared" si="45"/>
        <v>0.11376150492073107</v>
      </c>
      <c r="I48" s="5">
        <f t="shared" si="46"/>
        <v>113.76150492073107</v>
      </c>
      <c r="J48" s="6">
        <f t="shared" si="47"/>
        <v>113761.50492073107</v>
      </c>
      <c r="K48" s="4">
        <f t="shared" si="57"/>
        <v>2.2448178515000004E-2</v>
      </c>
      <c r="L48" s="5">
        <f t="shared" si="58"/>
        <v>22.448178515000002</v>
      </c>
      <c r="M48" s="8">
        <f t="shared" si="59"/>
        <v>22448.178514999996</v>
      </c>
      <c r="N48" s="4">
        <f t="shared" si="48"/>
        <v>184231.75970542658</v>
      </c>
      <c r="O48" s="5">
        <f t="shared" si="49"/>
        <v>184.23175970542658</v>
      </c>
      <c r="P48" s="6">
        <f t="shared" si="50"/>
        <v>0.18423175970542657</v>
      </c>
      <c r="Q48" s="4">
        <f t="shared" si="60"/>
        <v>5.4279457656971229E-3</v>
      </c>
      <c r="R48" s="5">
        <f t="shared" si="61"/>
        <v>5.4279457656971228</v>
      </c>
      <c r="S48" s="7">
        <f t="shared" si="62"/>
        <v>5427.9457656971226</v>
      </c>
      <c r="T48" s="4">
        <f t="shared" si="63"/>
        <v>3.4104789083195812E-3</v>
      </c>
      <c r="U48" s="5">
        <f t="shared" si="64"/>
        <v>3.4104789083195812</v>
      </c>
      <c r="V48" s="6">
        <f t="shared" si="65"/>
        <v>3410.478908319581</v>
      </c>
      <c r="W48" s="4">
        <f>AA48*8.617343*POWER(10,-5+1)</f>
        <v>2.2448178515E-2</v>
      </c>
      <c r="X48" s="5">
        <f>AA48*8.617343*POWER(10,3-5+1)</f>
        <v>22.448178515000002</v>
      </c>
      <c r="Y48" s="7">
        <f>AA48*8.617343*POWER(10,6-5+1)</f>
        <v>22448.178515</v>
      </c>
      <c r="Z48" s="4">
        <f>AA48/1000</f>
        <v>2.605E-2</v>
      </c>
      <c r="AA48" s="19">
        <v>26.05</v>
      </c>
      <c r="AB48" s="9">
        <f>AA48*1000</f>
        <v>26050</v>
      </c>
    </row>
    <row r="49" spans="1:28">
      <c r="A49" s="3">
        <v>27</v>
      </c>
      <c r="B49" s="4">
        <f t="shared" si="39"/>
        <v>55231.207705609253</v>
      </c>
      <c r="C49" s="5">
        <f t="shared" si="40"/>
        <v>55.231207705609251</v>
      </c>
      <c r="D49" s="6">
        <f t="shared" si="41"/>
        <v>5.5231207705609256E-2</v>
      </c>
      <c r="E49" s="4">
        <f t="shared" si="42"/>
        <v>0.18105705841707326</v>
      </c>
      <c r="F49" s="5">
        <f t="shared" si="43"/>
        <v>181.05705841707325</v>
      </c>
      <c r="G49" s="7">
        <f t="shared" si="44"/>
        <v>181057.05841707325</v>
      </c>
      <c r="H49" s="4">
        <f t="shared" si="45"/>
        <v>0.11376150492073107</v>
      </c>
      <c r="I49" s="5">
        <f t="shared" si="46"/>
        <v>113.76150492073107</v>
      </c>
      <c r="J49" s="6">
        <f t="shared" si="47"/>
        <v>113761.50492073107</v>
      </c>
      <c r="K49" s="4">
        <f t="shared" si="57"/>
        <v>2.2448178515000004E-2</v>
      </c>
      <c r="L49" s="5">
        <f t="shared" si="58"/>
        <v>22.448178515000002</v>
      </c>
      <c r="M49" s="8">
        <f t="shared" si="59"/>
        <v>22448.178514999996</v>
      </c>
      <c r="N49" s="4">
        <f t="shared" si="48"/>
        <v>184231.75970542658</v>
      </c>
      <c r="O49" s="5">
        <f t="shared" si="49"/>
        <v>184.23175970542658</v>
      </c>
      <c r="P49" s="6">
        <f t="shared" si="50"/>
        <v>0.18423175970542657</v>
      </c>
      <c r="Q49" s="4">
        <f t="shared" si="60"/>
        <v>5.4279457656971229E-3</v>
      </c>
      <c r="R49" s="5">
        <f t="shared" si="61"/>
        <v>5.4279457656971228</v>
      </c>
      <c r="S49" s="7">
        <f t="shared" si="62"/>
        <v>5427.9457656971226</v>
      </c>
      <c r="T49" s="4">
        <f t="shared" si="63"/>
        <v>3.4104789083195812E-3</v>
      </c>
      <c r="U49" s="5">
        <f t="shared" si="64"/>
        <v>3.4104789083195812</v>
      </c>
      <c r="V49" s="6">
        <f t="shared" si="65"/>
        <v>3410.478908319581</v>
      </c>
      <c r="W49" s="4">
        <f>AA49*8.617343*POWER(10,-5+1)</f>
        <v>2.2448178515E-2</v>
      </c>
      <c r="X49" s="5">
        <f>AA49*8.617343*POWER(10,3-5+1)</f>
        <v>22.448178515000002</v>
      </c>
      <c r="Y49" s="7">
        <f>AA49*8.617343*POWER(10,6-5+1)</f>
        <v>22448.178515</v>
      </c>
      <c r="Z49" s="4">
        <f>AA49/1000</f>
        <v>2.605E-2</v>
      </c>
      <c r="AA49" s="5">
        <f>AB49/1000</f>
        <v>26.05</v>
      </c>
      <c r="AB49" s="23">
        <v>26050</v>
      </c>
    </row>
  </sheetData>
  <sheetProtection selectLockedCells="1"/>
  <mergeCells count="60">
    <mergeCell ref="K2:M2"/>
    <mergeCell ref="B1:AB1"/>
    <mergeCell ref="B8:AB8"/>
    <mergeCell ref="B15:AB15"/>
    <mergeCell ref="A14:AB14"/>
    <mergeCell ref="A7:AB7"/>
    <mergeCell ref="B2:D2"/>
    <mergeCell ref="E2:G2"/>
    <mergeCell ref="H2:J2"/>
    <mergeCell ref="H3:J3"/>
    <mergeCell ref="W3:Y3"/>
    <mergeCell ref="N2:P2"/>
    <mergeCell ref="T2:V2"/>
    <mergeCell ref="Q2:S2"/>
    <mergeCell ref="W2:Y2"/>
    <mergeCell ref="B10:D10"/>
    <mergeCell ref="Z3:AB3"/>
    <mergeCell ref="B3:D3"/>
    <mergeCell ref="Q3:S3"/>
    <mergeCell ref="E3:G3"/>
    <mergeCell ref="N3:P3"/>
    <mergeCell ref="T3:V3"/>
    <mergeCell ref="K3:M3"/>
    <mergeCell ref="N10:P10"/>
    <mergeCell ref="Q10:S10"/>
    <mergeCell ref="T10:V10"/>
    <mergeCell ref="K9:M9"/>
    <mergeCell ref="K10:M10"/>
    <mergeCell ref="W9:Y9"/>
    <mergeCell ref="Z9:AB9"/>
    <mergeCell ref="B16:D16"/>
    <mergeCell ref="E16:G16"/>
    <mergeCell ref="H16:J16"/>
    <mergeCell ref="N16:P16"/>
    <mergeCell ref="Q16:S16"/>
    <mergeCell ref="W10:Y10"/>
    <mergeCell ref="Z10:AB10"/>
    <mergeCell ref="B9:D9"/>
    <mergeCell ref="E9:G9"/>
    <mergeCell ref="H9:J9"/>
    <mergeCell ref="N9:P9"/>
    <mergeCell ref="Q9:S9"/>
    <mergeCell ref="E10:G10"/>
    <mergeCell ref="H10:J10"/>
    <mergeCell ref="A21:AB21"/>
    <mergeCell ref="Z2:AB2"/>
    <mergeCell ref="T17:V17"/>
    <mergeCell ref="W17:Y17"/>
    <mergeCell ref="Z17:AB17"/>
    <mergeCell ref="B17:D17"/>
    <mergeCell ref="E17:G17"/>
    <mergeCell ref="H17:J17"/>
    <mergeCell ref="N17:P17"/>
    <mergeCell ref="Q17:S17"/>
    <mergeCell ref="K16:M16"/>
    <mergeCell ref="K17:M17"/>
    <mergeCell ref="T16:V16"/>
    <mergeCell ref="W16:Y16"/>
    <mergeCell ref="Z16:AB16"/>
    <mergeCell ref="T9:V9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1BE8B-B379-444D-BDCA-A4CACB067029}">
  <sheetPr codeName="Sheet2"/>
  <dimension ref="B2:U16"/>
  <sheetViews>
    <sheetView workbookViewId="0">
      <selection activeCell="K7" sqref="K7"/>
    </sheetView>
  </sheetViews>
  <sheetFormatPr defaultColWidth="9.08203125" defaultRowHeight="14"/>
  <cols>
    <col min="1" max="1" width="9.08203125" style="24"/>
    <col min="2" max="2" width="9.08203125" style="24" customWidth="1"/>
    <col min="3" max="3" width="9.08203125" style="24"/>
    <col min="4" max="5" width="9.08203125" style="24" customWidth="1"/>
    <col min="6" max="7" width="9.08203125" style="24"/>
    <col min="8" max="8" width="9.08203125" style="24" customWidth="1"/>
    <col min="9" max="9" width="9.08203125" style="24"/>
    <col min="10" max="11" width="9.08203125" style="24" customWidth="1"/>
    <col min="12" max="13" width="9.08203125" style="24"/>
    <col min="14" max="17" width="9.08203125" style="24" customWidth="1"/>
    <col min="18" max="16384" width="9.08203125" style="24"/>
  </cols>
  <sheetData>
    <row r="2" spans="2:21">
      <c r="B2" s="24" t="s">
        <v>125</v>
      </c>
      <c r="C2" s="24" t="s">
        <v>88</v>
      </c>
      <c r="D2" s="24" t="s">
        <v>84</v>
      </c>
      <c r="E2" s="24">
        <f>8.854187817*POWER(10,-12)</f>
        <v>8.8541878169999989E-12</v>
      </c>
      <c r="F2" s="24" t="s">
        <v>83</v>
      </c>
      <c r="H2" s="24" t="s">
        <v>124</v>
      </c>
      <c r="I2" s="25" t="s">
        <v>6</v>
      </c>
      <c r="J2" s="24" t="s">
        <v>112</v>
      </c>
      <c r="K2" s="24">
        <v>500</v>
      </c>
      <c r="L2" s="24" t="s">
        <v>5</v>
      </c>
      <c r="N2" s="24" t="s">
        <v>123</v>
      </c>
      <c r="O2" s="24" t="s">
        <v>101</v>
      </c>
      <c r="P2" s="24" t="s">
        <v>102</v>
      </c>
      <c r="Q2" s="24">
        <f>2*PI()*E5/K3</f>
        <v>3767297379219964.5</v>
      </c>
      <c r="R2" s="24" t="s">
        <v>116</v>
      </c>
    </row>
    <row r="3" spans="2:21">
      <c r="C3" s="24" t="s">
        <v>86</v>
      </c>
      <c r="D3" s="24" t="s">
        <v>85</v>
      </c>
      <c r="E3" s="24">
        <f>1.6*POWER(10,-19)</f>
        <v>1.6000000000000002E-19</v>
      </c>
      <c r="F3" s="24" t="s">
        <v>87</v>
      </c>
      <c r="K3" s="24">
        <f>K2*POWER(10,-9)</f>
        <v>5.0000000000000008E-7</v>
      </c>
      <c r="L3" s="24" t="s">
        <v>111</v>
      </c>
      <c r="N3" s="24" t="s">
        <v>92</v>
      </c>
      <c r="O3" s="24" t="s">
        <v>94</v>
      </c>
      <c r="P3" s="24" t="s">
        <v>96</v>
      </c>
      <c r="Q3" s="24">
        <f>POWER(K4*K5*E3^2/E2/E4,0.5)</f>
        <v>2.3901940988314332E+16</v>
      </c>
      <c r="R3" s="24" t="s">
        <v>98</v>
      </c>
    </row>
    <row r="4" spans="2:21">
      <c r="C4" s="24" t="s">
        <v>89</v>
      </c>
      <c r="D4" s="24" t="s">
        <v>90</v>
      </c>
      <c r="E4" s="24">
        <f>9.10956*POWER(10,-31)</f>
        <v>9.1095600000000008E-31</v>
      </c>
      <c r="F4" s="24" t="s">
        <v>91</v>
      </c>
      <c r="H4" s="24" t="s">
        <v>92</v>
      </c>
      <c r="I4" s="24" t="s">
        <v>95</v>
      </c>
      <c r="J4" s="26" t="s">
        <v>97</v>
      </c>
      <c r="K4" s="24">
        <v>3</v>
      </c>
      <c r="L4" s="24">
        <v>1</v>
      </c>
      <c r="N4" s="24" t="s">
        <v>92</v>
      </c>
      <c r="O4" s="24" t="s">
        <v>103</v>
      </c>
      <c r="P4" s="24" t="s">
        <v>104</v>
      </c>
      <c r="Q4" s="24">
        <f>K6*E4/K5/K4/POWER(E3,2)</f>
        <v>8.1052942708333334E-15</v>
      </c>
      <c r="R4" s="24" t="s">
        <v>108</v>
      </c>
    </row>
    <row r="5" spans="2:21">
      <c r="C5" s="24" t="s">
        <v>113</v>
      </c>
      <c r="D5" s="24" t="s">
        <v>114</v>
      </c>
      <c r="E5" s="24">
        <f>2.99792*POWER(10,8)</f>
        <v>299792000</v>
      </c>
      <c r="F5" s="24" t="s">
        <v>115</v>
      </c>
      <c r="H5" s="24" t="s">
        <v>92</v>
      </c>
      <c r="I5" s="24" t="s">
        <v>100</v>
      </c>
      <c r="J5" s="24" t="s">
        <v>93</v>
      </c>
      <c r="K5" s="24">
        <f>6*POWER(10,28)</f>
        <v>6.0000000000000002E+28</v>
      </c>
      <c r="L5" s="24" t="s">
        <v>99</v>
      </c>
      <c r="N5" s="24" t="s">
        <v>92</v>
      </c>
      <c r="O5" s="24" t="s">
        <v>110</v>
      </c>
      <c r="P5" s="24" t="s">
        <v>109</v>
      </c>
      <c r="Q5" s="24" t="str">
        <f>IMDIV(K6,COMPLEX(1,-Q2*Q4,"i"))</f>
        <v>43925.9273467478+1341280.55757302i</v>
      </c>
      <c r="R5" s="24" t="s">
        <v>107</v>
      </c>
    </row>
    <row r="6" spans="2:21">
      <c r="C6" s="24" t="s">
        <v>129</v>
      </c>
      <c r="D6" s="24" t="s">
        <v>130</v>
      </c>
      <c r="E6" s="24">
        <f>6.62607004*10^-34</f>
        <v>6.6260700400000008E-34</v>
      </c>
      <c r="F6" s="24" t="s">
        <v>133</v>
      </c>
      <c r="H6" s="24" t="s">
        <v>92</v>
      </c>
      <c r="I6" s="24" t="s">
        <v>105</v>
      </c>
      <c r="J6" s="24" t="s">
        <v>106</v>
      </c>
      <c r="K6" s="24">
        <f>4.1*POWER(10,7)</f>
        <v>41000000</v>
      </c>
      <c r="L6" s="24" t="s">
        <v>107</v>
      </c>
      <c r="N6" s="24" t="s">
        <v>92</v>
      </c>
      <c r="O6" s="24" t="s">
        <v>118</v>
      </c>
      <c r="P6" s="24" t="s">
        <v>117</v>
      </c>
      <c r="Q6" s="24" t="str">
        <f>IMSUM(1,IMPRODUCT("i",Q5,1/E2/Q2))</f>
        <v>-39.2106409558035+1.31686818482391i</v>
      </c>
      <c r="R6" s="24">
        <v>1</v>
      </c>
    </row>
    <row r="7" spans="2:21">
      <c r="D7" s="24" t="s">
        <v>130</v>
      </c>
      <c r="E7" s="24">
        <f>E6/E3</f>
        <v>4.141293775E-15</v>
      </c>
      <c r="F7" s="24" t="s">
        <v>43</v>
      </c>
      <c r="H7" s="24" t="s">
        <v>128</v>
      </c>
      <c r="I7" s="24" t="s">
        <v>127</v>
      </c>
      <c r="J7" s="24" t="s">
        <v>135</v>
      </c>
      <c r="K7" s="24">
        <v>0.5</v>
      </c>
      <c r="L7" s="24" t="s">
        <v>90</v>
      </c>
      <c r="N7" s="24" t="s">
        <v>92</v>
      </c>
      <c r="O7" s="24" t="s">
        <v>120</v>
      </c>
      <c r="P7" s="24" t="s">
        <v>119</v>
      </c>
      <c r="Q7" s="24" t="str">
        <f>IMPOWER(Q6,0.5)</f>
        <v>0.105135439333795+6.26272260414011i</v>
      </c>
      <c r="R7" s="24">
        <v>1</v>
      </c>
    </row>
    <row r="8" spans="2:21">
      <c r="C8" s="24" t="s">
        <v>131</v>
      </c>
      <c r="D8" s="24" t="s">
        <v>132</v>
      </c>
      <c r="E8" s="24">
        <f>E6/(2*PI())</f>
        <v>1.0545718001391127E-34</v>
      </c>
      <c r="F8" s="24" t="s">
        <v>133</v>
      </c>
      <c r="K8" s="24">
        <f>K7*E4</f>
        <v>4.5547800000000004E-31</v>
      </c>
      <c r="L8" s="24" t="s">
        <v>91</v>
      </c>
      <c r="N8" s="24" t="s">
        <v>92</v>
      </c>
      <c r="O8" s="24" t="s">
        <v>122</v>
      </c>
      <c r="P8" s="24" t="s">
        <v>121</v>
      </c>
      <c r="Q8" s="24">
        <f>IMABS(IMDIV(IMSUM(Q7,-1),IMSUM(Q7,1)))</f>
        <v>0.99478722497223826</v>
      </c>
      <c r="R8" s="24">
        <v>1</v>
      </c>
    </row>
    <row r="9" spans="2:21">
      <c r="D9" s="24" t="s">
        <v>132</v>
      </c>
      <c r="E9" s="24">
        <f>E7/(2*PI())</f>
        <v>6.5910737508694544E-16</v>
      </c>
      <c r="F9" s="24" t="s">
        <v>43</v>
      </c>
      <c r="H9" s="24" t="s">
        <v>128</v>
      </c>
      <c r="I9" s="24" t="s">
        <v>126</v>
      </c>
      <c r="J9" s="24" t="s">
        <v>136</v>
      </c>
      <c r="K9" s="24">
        <v>0.08</v>
      </c>
      <c r="L9" s="24" t="s">
        <v>90</v>
      </c>
      <c r="N9" s="24" t="s">
        <v>138</v>
      </c>
      <c r="O9" s="24" t="s">
        <v>137</v>
      </c>
      <c r="P9" s="24" t="s">
        <v>139</v>
      </c>
      <c r="Q9" s="24">
        <f>(3*PI()^2*E8^3*K11/2^1.5/(K8^1.5+K10^1.5))^(2/3)</f>
        <v>5.2036469304468726E-21</v>
      </c>
      <c r="R9" s="24" t="s">
        <v>140</v>
      </c>
    </row>
    <row r="10" spans="2:21">
      <c r="K10" s="24">
        <f>K9*E4</f>
        <v>7.2876480000000011E-32</v>
      </c>
      <c r="L10" s="24" t="s">
        <v>91</v>
      </c>
      <c r="Q10" s="24">
        <f>Q9/E3</f>
        <v>3.2522793315292953E-2</v>
      </c>
      <c r="R10" s="24" t="s">
        <v>141</v>
      </c>
    </row>
    <row r="11" spans="2:21">
      <c r="H11" s="24" t="s">
        <v>128</v>
      </c>
      <c r="I11" s="24" t="s">
        <v>134</v>
      </c>
      <c r="J11" s="24" t="s">
        <v>93</v>
      </c>
      <c r="K11" s="24">
        <f>10^25</f>
        <v>1.0000000000000001E+25</v>
      </c>
      <c r="L11" s="24" t="s">
        <v>99</v>
      </c>
      <c r="N11" s="24" t="s">
        <v>138</v>
      </c>
      <c r="O11" s="24" t="s">
        <v>142</v>
      </c>
      <c r="P11" s="24" t="s">
        <v>143</v>
      </c>
      <c r="Q11" s="24">
        <f>(2*K8*Q9)^0.5/E8</f>
        <v>652869616.00938272</v>
      </c>
      <c r="R11" s="24" t="s">
        <v>60</v>
      </c>
    </row>
    <row r="12" spans="2:21">
      <c r="N12" s="24" t="s">
        <v>138</v>
      </c>
      <c r="O12" s="24" t="s">
        <v>145</v>
      </c>
      <c r="P12" s="24" t="s">
        <v>144</v>
      </c>
      <c r="Q12" s="24">
        <f>(2*K10*Q9)^0.5/E8</f>
        <v>261147846.4037531</v>
      </c>
      <c r="R12" s="24" t="s">
        <v>60</v>
      </c>
    </row>
    <row r="13" spans="2:21">
      <c r="N13" s="24" t="s">
        <v>138</v>
      </c>
      <c r="O13" s="24" t="s">
        <v>146</v>
      </c>
      <c r="P13" s="24" t="s">
        <v>148</v>
      </c>
      <c r="Q13" s="24">
        <f>-(E8^2*Q11^2/(2*K8))+E8^2*Q11^2/(2*K10)</f>
        <v>2.7319146384846082E-20</v>
      </c>
      <c r="R13" s="24" t="s">
        <v>140</v>
      </c>
      <c r="S13" s="24">
        <f>-(4^4)-(-(2^2))</f>
        <v>-252</v>
      </c>
      <c r="T13" s="24">
        <f>-(4^4)-(-2^2)</f>
        <v>-260</v>
      </c>
      <c r="U13" s="24">
        <f>-4^4-(-2^2)</f>
        <v>252</v>
      </c>
    </row>
    <row r="14" spans="2:21">
      <c r="Q14" s="24">
        <f>Q13/E3</f>
        <v>0.170744664905288</v>
      </c>
      <c r="R14" s="24" t="s">
        <v>141</v>
      </c>
      <c r="S14" s="24">
        <f>-POWER(4,4)-(-POWER(2,2))</f>
        <v>-252</v>
      </c>
      <c r="T14" s="24">
        <f>(-4^4)-(-(2^2))</f>
        <v>260</v>
      </c>
      <c r="U14" s="24">
        <f>(-4^4)-(-2^2)</f>
        <v>252</v>
      </c>
    </row>
    <row r="15" spans="2:21">
      <c r="N15" s="24" t="s">
        <v>138</v>
      </c>
      <c r="O15" s="24" t="s">
        <v>147</v>
      </c>
      <c r="P15" s="24" t="s">
        <v>149</v>
      </c>
      <c r="Q15" s="24">
        <f>-(E8^2*Q12^2/(2*K8))+E8^2*Q12^2/(2*K10)</f>
        <v>4.3710634215753731E-21</v>
      </c>
      <c r="R15" s="24" t="s">
        <v>140</v>
      </c>
    </row>
    <row r="16" spans="2:21">
      <c r="Q16" s="24">
        <f>Q15/E3</f>
        <v>2.7319146384846078E-2</v>
      </c>
      <c r="R16" s="24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E098-DB84-4F86-B5E6-FCA4B8E02E04}">
  <dimension ref="A1:Y20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25" sqref="F25"/>
    </sheetView>
  </sheetViews>
  <sheetFormatPr defaultColWidth="16.58203125" defaultRowHeight="27" customHeight="1"/>
  <cols>
    <col min="1" max="1" width="8" style="29" customWidth="1"/>
    <col min="2" max="2" width="40.75" style="29" customWidth="1"/>
    <col min="3" max="3" width="13.08203125" style="29" customWidth="1"/>
    <col min="4" max="4" width="15.5" style="29" customWidth="1"/>
    <col min="5" max="5" width="57.33203125" style="29" customWidth="1"/>
    <col min="6" max="6" width="52" style="29" customWidth="1"/>
    <col min="7" max="7" width="57.75" style="29" customWidth="1"/>
    <col min="8" max="8" width="50.5" style="29" customWidth="1"/>
    <col min="9" max="9" width="16" style="29" customWidth="1"/>
    <col min="10" max="10" width="16.33203125" style="29" customWidth="1"/>
    <col min="11" max="11" width="35.75" style="29" customWidth="1"/>
    <col min="12" max="12" width="42.33203125" style="29" customWidth="1"/>
    <col min="13" max="13" width="38.25" style="29" customWidth="1"/>
    <col min="14" max="14" width="46" style="29" customWidth="1"/>
    <col min="15" max="15" width="41" style="29" customWidth="1"/>
    <col min="16" max="16" width="40.25" style="29" customWidth="1"/>
    <col min="17" max="17" width="34.25" style="29" customWidth="1"/>
    <col min="18" max="18" width="21.33203125" style="29" customWidth="1"/>
    <col min="19" max="19" width="42.33203125" style="29" customWidth="1"/>
    <col min="20" max="20" width="15" style="29" customWidth="1"/>
    <col min="21" max="21" width="22.25" style="29" customWidth="1"/>
    <col min="22" max="22" width="21.75" style="29" customWidth="1"/>
    <col min="23" max="23" width="15" style="29" customWidth="1"/>
    <col min="24" max="24" width="85.25" style="29" customWidth="1"/>
    <col min="25" max="16384" width="16.58203125" style="29"/>
  </cols>
  <sheetData>
    <row r="1" spans="1:25" s="30" customFormat="1" ht="27" customHeight="1" thickBot="1">
      <c r="A1" s="32"/>
      <c r="B1" s="43" t="s">
        <v>154</v>
      </c>
      <c r="C1" s="64"/>
      <c r="D1" s="65"/>
      <c r="E1" s="74"/>
      <c r="F1" s="69" t="s">
        <v>153</v>
      </c>
      <c r="G1" s="70"/>
      <c r="H1" s="71"/>
      <c r="I1" s="69" t="s">
        <v>160</v>
      </c>
      <c r="J1" s="70"/>
      <c r="K1" s="71"/>
      <c r="L1" s="64"/>
      <c r="M1" s="74"/>
      <c r="N1" s="43" t="s">
        <v>161</v>
      </c>
      <c r="O1" s="72"/>
      <c r="P1" s="73"/>
      <c r="Q1" s="43" t="s">
        <v>162</v>
      </c>
      <c r="R1" s="64"/>
      <c r="S1" s="65"/>
      <c r="T1" s="65"/>
      <c r="U1" s="65"/>
      <c r="V1" s="65"/>
      <c r="W1" s="65"/>
      <c r="X1" s="65"/>
    </row>
    <row r="2" spans="1:25" s="30" customFormat="1" ht="27" customHeight="1" thickTop="1" thickBot="1">
      <c r="A2" s="41" t="s">
        <v>32</v>
      </c>
      <c r="B2" s="42" t="s">
        <v>154</v>
      </c>
      <c r="C2" s="42" t="s">
        <v>175</v>
      </c>
      <c r="D2" s="42" t="s">
        <v>174</v>
      </c>
      <c r="E2" s="43" t="s">
        <v>152</v>
      </c>
      <c r="F2" s="44" t="s">
        <v>168</v>
      </c>
      <c r="G2" s="42" t="s">
        <v>158</v>
      </c>
      <c r="H2" s="42" t="s">
        <v>159</v>
      </c>
      <c r="I2" s="42" t="s">
        <v>155</v>
      </c>
      <c r="J2" s="42" t="s">
        <v>199</v>
      </c>
      <c r="K2" s="42" t="s">
        <v>198</v>
      </c>
      <c r="L2" s="42" t="s">
        <v>255</v>
      </c>
      <c r="M2" s="43" t="s">
        <v>260</v>
      </c>
      <c r="N2" s="43" t="s">
        <v>161</v>
      </c>
      <c r="O2" s="43" t="s">
        <v>343</v>
      </c>
      <c r="P2" s="43" t="s">
        <v>255</v>
      </c>
      <c r="Q2" s="43" t="s">
        <v>162</v>
      </c>
      <c r="R2" s="44" t="s">
        <v>368</v>
      </c>
      <c r="S2" s="42" t="s">
        <v>189</v>
      </c>
      <c r="T2" s="42" t="s">
        <v>188</v>
      </c>
      <c r="U2" s="42" t="s">
        <v>186</v>
      </c>
      <c r="V2" s="42" t="s">
        <v>339</v>
      </c>
      <c r="W2" s="42" t="s">
        <v>173</v>
      </c>
      <c r="X2" s="42" t="s">
        <v>153</v>
      </c>
      <c r="Y2" s="30" t="s">
        <v>282</v>
      </c>
    </row>
    <row r="3" spans="1:25" s="30" customFormat="1" ht="27" customHeight="1" thickTop="1">
      <c r="A3" s="66" t="s">
        <v>156</v>
      </c>
      <c r="B3" s="33" t="s">
        <v>410</v>
      </c>
      <c r="C3" s="33" t="s">
        <v>411</v>
      </c>
      <c r="D3" s="33" t="s">
        <v>412</v>
      </c>
      <c r="E3" s="33" t="s">
        <v>413</v>
      </c>
      <c r="F3" s="33" t="s">
        <v>414</v>
      </c>
      <c r="G3" s="33" t="s">
        <v>415</v>
      </c>
      <c r="H3" s="33" t="s">
        <v>416</v>
      </c>
      <c r="I3" s="33"/>
      <c r="J3" s="33"/>
      <c r="K3" s="33" t="s">
        <v>417</v>
      </c>
      <c r="L3" s="33" t="s">
        <v>418</v>
      </c>
      <c r="M3" s="33" t="s">
        <v>419</v>
      </c>
      <c r="N3" s="33" t="s">
        <v>393</v>
      </c>
      <c r="O3" s="33" t="s">
        <v>345</v>
      </c>
      <c r="P3" s="33" t="s">
        <v>344</v>
      </c>
      <c r="Q3" s="33" t="s">
        <v>327</v>
      </c>
      <c r="R3" s="33" t="s">
        <v>284</v>
      </c>
      <c r="S3" s="33" t="s">
        <v>219</v>
      </c>
      <c r="T3" s="33" t="s">
        <v>195</v>
      </c>
      <c r="U3" s="33" t="s">
        <v>367</v>
      </c>
      <c r="V3" s="33" t="s">
        <v>324</v>
      </c>
      <c r="W3" s="33" t="s">
        <v>185</v>
      </c>
      <c r="X3" s="33" t="s">
        <v>309</v>
      </c>
      <c r="Y3" s="30" t="s">
        <v>282</v>
      </c>
    </row>
    <row r="4" spans="1:25" s="30" customFormat="1" ht="27" customHeight="1">
      <c r="A4" s="67"/>
      <c r="B4" s="34" t="s">
        <v>402</v>
      </c>
      <c r="C4" s="34" t="s">
        <v>401</v>
      </c>
      <c r="D4" s="34" t="s">
        <v>403</v>
      </c>
      <c r="E4" s="34" t="s">
        <v>404</v>
      </c>
      <c r="F4" s="34" t="s">
        <v>405</v>
      </c>
      <c r="G4" s="34" t="s">
        <v>272</v>
      </c>
      <c r="H4" s="34" t="s">
        <v>406</v>
      </c>
      <c r="I4" s="34"/>
      <c r="J4" s="34"/>
      <c r="K4" s="34" t="s">
        <v>407</v>
      </c>
      <c r="L4" s="34" t="s">
        <v>408</v>
      </c>
      <c r="M4" s="34" t="s">
        <v>409</v>
      </c>
      <c r="N4" s="34" t="s">
        <v>395</v>
      </c>
      <c r="O4" s="34" t="s">
        <v>396</v>
      </c>
      <c r="P4" s="34" t="s">
        <v>282</v>
      </c>
      <c r="Q4" s="34" t="s">
        <v>326</v>
      </c>
      <c r="R4" s="34" t="s">
        <v>370</v>
      </c>
      <c r="S4" s="34" t="s">
        <v>365</v>
      </c>
      <c r="T4" s="34" t="s">
        <v>195</v>
      </c>
      <c r="U4" s="34" t="s">
        <v>366</v>
      </c>
      <c r="V4" s="34" t="s">
        <v>194</v>
      </c>
      <c r="W4" s="34" t="s">
        <v>185</v>
      </c>
      <c r="X4" s="34" t="s">
        <v>193</v>
      </c>
      <c r="Y4" s="30" t="s">
        <v>282</v>
      </c>
    </row>
    <row r="5" spans="1:25" s="30" customFormat="1" ht="27" customHeight="1">
      <c r="A5" s="67"/>
      <c r="B5" s="35" t="s">
        <v>316</v>
      </c>
      <c r="C5" s="35" t="s">
        <v>172</v>
      </c>
      <c r="D5" s="35" t="s">
        <v>322</v>
      </c>
      <c r="E5" s="35" t="s">
        <v>279</v>
      </c>
      <c r="F5" s="35" t="s">
        <v>271</v>
      </c>
      <c r="G5" s="35" t="s">
        <v>285</v>
      </c>
      <c r="H5" s="35" t="s">
        <v>331</v>
      </c>
      <c r="I5" s="35" t="s">
        <v>282</v>
      </c>
      <c r="J5" s="35" t="s">
        <v>274</v>
      </c>
      <c r="K5" s="35"/>
      <c r="L5" s="35" t="s">
        <v>259</v>
      </c>
      <c r="M5" s="35" t="s">
        <v>275</v>
      </c>
      <c r="N5" s="35" t="s">
        <v>394</v>
      </c>
      <c r="O5" s="35" t="s">
        <v>346</v>
      </c>
      <c r="P5" s="35" t="s">
        <v>362</v>
      </c>
      <c r="Q5" s="35" t="s">
        <v>328</v>
      </c>
      <c r="R5" s="35" t="s">
        <v>369</v>
      </c>
      <c r="S5" s="35" t="s">
        <v>216</v>
      </c>
      <c r="T5" s="35" t="s">
        <v>187</v>
      </c>
      <c r="U5" s="35" t="s">
        <v>305</v>
      </c>
      <c r="V5" s="35" t="s">
        <v>251</v>
      </c>
      <c r="W5" s="35" t="s">
        <v>185</v>
      </c>
      <c r="X5" s="35" t="s">
        <v>308</v>
      </c>
      <c r="Y5" s="30" t="s">
        <v>282</v>
      </c>
    </row>
    <row r="6" spans="1:25" s="30" customFormat="1" ht="27" customHeight="1">
      <c r="A6" s="67"/>
      <c r="B6" s="34" t="s">
        <v>313</v>
      </c>
      <c r="C6" s="34" t="s">
        <v>172</v>
      </c>
      <c r="D6" s="34" t="s">
        <v>323</v>
      </c>
      <c r="E6" s="34" t="s">
        <v>164</v>
      </c>
      <c r="F6" s="34" t="s">
        <v>191</v>
      </c>
      <c r="G6" s="34" t="s">
        <v>163</v>
      </c>
      <c r="H6" s="34" t="s">
        <v>224</v>
      </c>
      <c r="I6" s="36">
        <v>1.6E-2</v>
      </c>
      <c r="J6" s="34"/>
      <c r="K6" s="34" t="s">
        <v>243</v>
      </c>
      <c r="L6" s="34" t="s">
        <v>246</v>
      </c>
      <c r="M6" s="34" t="s">
        <v>165</v>
      </c>
      <c r="N6" s="34" t="s">
        <v>357</v>
      </c>
      <c r="O6" s="34" t="s">
        <v>347</v>
      </c>
      <c r="P6" s="34" t="s">
        <v>348</v>
      </c>
      <c r="Q6" s="34" t="s">
        <v>351</v>
      </c>
      <c r="R6" s="34" t="s">
        <v>284</v>
      </c>
      <c r="S6" s="34" t="s">
        <v>240</v>
      </c>
      <c r="T6" s="34" t="s">
        <v>240</v>
      </c>
      <c r="U6" s="34"/>
      <c r="V6" s="34"/>
      <c r="W6" s="34" t="s">
        <v>169</v>
      </c>
      <c r="X6" s="34" t="s">
        <v>307</v>
      </c>
      <c r="Y6" s="30" t="s">
        <v>282</v>
      </c>
    </row>
    <row r="7" spans="1:25" s="30" customFormat="1" ht="27" customHeight="1">
      <c r="A7" s="67"/>
      <c r="B7" s="35" t="s">
        <v>296</v>
      </c>
      <c r="C7" s="35" t="s">
        <v>171</v>
      </c>
      <c r="D7" s="35" t="s">
        <v>248</v>
      </c>
      <c r="E7" s="35" t="s">
        <v>213</v>
      </c>
      <c r="F7" s="35" t="s">
        <v>297</v>
      </c>
      <c r="G7" s="35" t="s">
        <v>197</v>
      </c>
      <c r="H7" s="35" t="s">
        <v>228</v>
      </c>
      <c r="I7" s="37"/>
      <c r="J7" s="35"/>
      <c r="K7" s="35" t="s">
        <v>300</v>
      </c>
      <c r="L7" s="35" t="s">
        <v>303</v>
      </c>
      <c r="M7" s="35" t="s">
        <v>301</v>
      </c>
      <c r="N7" s="35" t="s">
        <v>391</v>
      </c>
      <c r="O7" s="35" t="s">
        <v>392</v>
      </c>
      <c r="P7" s="35"/>
      <c r="Q7" s="35" t="s">
        <v>341</v>
      </c>
      <c r="R7" s="35" t="s">
        <v>284</v>
      </c>
      <c r="S7" s="35" t="s">
        <v>215</v>
      </c>
      <c r="T7" s="35" t="s">
        <v>241</v>
      </c>
      <c r="U7" s="35" t="s">
        <v>325</v>
      </c>
      <c r="V7" s="35"/>
      <c r="W7" s="35" t="s">
        <v>169</v>
      </c>
      <c r="X7" s="35" t="s">
        <v>233</v>
      </c>
      <c r="Y7" s="30" t="s">
        <v>282</v>
      </c>
    </row>
    <row r="8" spans="1:25" s="30" customFormat="1" ht="27" customHeight="1">
      <c r="A8" s="67"/>
      <c r="B8" s="34" t="s">
        <v>312</v>
      </c>
      <c r="C8" s="34" t="s">
        <v>171</v>
      </c>
      <c r="D8" s="34" t="s">
        <v>330</v>
      </c>
      <c r="E8" s="34" t="s">
        <v>247</v>
      </c>
      <c r="F8" s="34" t="s">
        <v>235</v>
      </c>
      <c r="G8" s="34" t="s">
        <v>265</v>
      </c>
      <c r="H8" s="34" t="s">
        <v>270</v>
      </c>
      <c r="I8" s="34" t="s">
        <v>268</v>
      </c>
      <c r="J8" s="34"/>
      <c r="K8" s="34"/>
      <c r="L8" s="34"/>
      <c r="M8" s="34" t="s">
        <v>262</v>
      </c>
      <c r="N8" s="34" t="s">
        <v>388</v>
      </c>
      <c r="O8" s="34" t="s">
        <v>389</v>
      </c>
      <c r="P8" s="34" t="s">
        <v>390</v>
      </c>
      <c r="Q8" s="34" t="s">
        <v>375</v>
      </c>
      <c r="R8" s="34" t="s">
        <v>376</v>
      </c>
      <c r="S8" s="34" t="s">
        <v>377</v>
      </c>
      <c r="T8" s="34" t="s">
        <v>378</v>
      </c>
      <c r="U8" s="34" t="s">
        <v>379</v>
      </c>
      <c r="V8" s="34" t="s">
        <v>380</v>
      </c>
      <c r="W8" s="34" t="s">
        <v>381</v>
      </c>
      <c r="X8" s="34" t="s">
        <v>382</v>
      </c>
      <c r="Y8" s="30" t="s">
        <v>282</v>
      </c>
    </row>
    <row r="9" spans="1:25" s="30" customFormat="1" ht="27" customHeight="1">
      <c r="A9" s="67"/>
      <c r="B9" s="35" t="s">
        <v>315</v>
      </c>
      <c r="C9" s="35" t="s">
        <v>171</v>
      </c>
      <c r="D9" s="35" t="s">
        <v>321</v>
      </c>
      <c r="E9" s="35" t="s">
        <v>253</v>
      </c>
      <c r="F9" s="35" t="s">
        <v>252</v>
      </c>
      <c r="G9" s="35" t="s">
        <v>254</v>
      </c>
      <c r="H9" s="35" t="s">
        <v>263</v>
      </c>
      <c r="I9" s="35" t="s">
        <v>244</v>
      </c>
      <c r="J9" s="35"/>
      <c r="K9" s="35" t="s">
        <v>245</v>
      </c>
      <c r="L9" s="35" t="s">
        <v>283</v>
      </c>
      <c r="M9" s="35" t="s">
        <v>250</v>
      </c>
      <c r="N9" s="35"/>
      <c r="O9" s="35"/>
      <c r="P9" s="35"/>
      <c r="Q9" s="38" t="s">
        <v>383</v>
      </c>
      <c r="R9" s="35" t="s">
        <v>377</v>
      </c>
      <c r="S9" s="35" t="s">
        <v>377</v>
      </c>
      <c r="T9" s="35" t="s">
        <v>378</v>
      </c>
      <c r="U9" s="35" t="s">
        <v>379</v>
      </c>
      <c r="V9" s="35" t="s">
        <v>384</v>
      </c>
      <c r="W9" s="35" t="s">
        <v>381</v>
      </c>
      <c r="X9" s="35" t="s">
        <v>385</v>
      </c>
      <c r="Y9" s="30" t="s">
        <v>282</v>
      </c>
    </row>
    <row r="10" spans="1:25" s="30" customFormat="1" ht="27" customHeight="1">
      <c r="A10" s="67"/>
      <c r="B10" s="34" t="s">
        <v>314</v>
      </c>
      <c r="C10" s="34" t="s">
        <v>171</v>
      </c>
      <c r="D10" s="34" t="s">
        <v>257</v>
      </c>
      <c r="E10" s="34" t="s">
        <v>329</v>
      </c>
      <c r="F10" s="34" t="s">
        <v>269</v>
      </c>
      <c r="G10" s="34" t="s">
        <v>266</v>
      </c>
      <c r="H10" s="34" t="s">
        <v>267</v>
      </c>
      <c r="I10" s="36">
        <v>2.0000000000000001E-4</v>
      </c>
      <c r="J10" s="34"/>
      <c r="K10" s="34" t="s">
        <v>337</v>
      </c>
      <c r="L10" s="34" t="s">
        <v>256</v>
      </c>
      <c r="M10" s="34" t="s">
        <v>264</v>
      </c>
      <c r="N10" s="34" t="s">
        <v>352</v>
      </c>
      <c r="O10" s="34" t="s">
        <v>354</v>
      </c>
      <c r="P10" s="34" t="s">
        <v>360</v>
      </c>
      <c r="Q10" s="31" t="s">
        <v>386</v>
      </c>
      <c r="R10" s="34" t="s">
        <v>284</v>
      </c>
      <c r="S10" s="34" t="s">
        <v>284</v>
      </c>
      <c r="T10" s="34" t="s">
        <v>195</v>
      </c>
      <c r="U10" s="34" t="s">
        <v>305</v>
      </c>
      <c r="V10" s="34" t="s">
        <v>306</v>
      </c>
      <c r="W10" s="34" t="s">
        <v>169</v>
      </c>
      <c r="X10" s="34" t="s">
        <v>387</v>
      </c>
      <c r="Y10" s="30" t="s">
        <v>282</v>
      </c>
    </row>
    <row r="11" spans="1:25" s="30" customFormat="1" ht="27" customHeight="1">
      <c r="A11" s="67"/>
      <c r="B11" s="35" t="s">
        <v>289</v>
      </c>
      <c r="C11" s="35" t="s">
        <v>171</v>
      </c>
      <c r="D11" s="35" t="s">
        <v>249</v>
      </c>
      <c r="E11" s="35" t="s">
        <v>397</v>
      </c>
      <c r="F11" s="35" t="s">
        <v>166</v>
      </c>
      <c r="G11" s="35" t="s">
        <v>167</v>
      </c>
      <c r="H11" s="35" t="s">
        <v>179</v>
      </c>
      <c r="I11" s="37" t="s">
        <v>333</v>
      </c>
      <c r="J11" s="35"/>
      <c r="K11" s="35" t="s">
        <v>338</v>
      </c>
      <c r="L11" s="35" t="s">
        <v>196</v>
      </c>
      <c r="M11" s="35" t="s">
        <v>261</v>
      </c>
      <c r="N11" s="35" t="s">
        <v>355</v>
      </c>
      <c r="O11" s="35" t="s">
        <v>356</v>
      </c>
      <c r="P11" s="35" t="s">
        <v>360</v>
      </c>
      <c r="Q11" s="35" t="s">
        <v>358</v>
      </c>
      <c r="R11" s="35" t="s">
        <v>284</v>
      </c>
      <c r="S11" s="35" t="s">
        <v>284</v>
      </c>
      <c r="T11" s="35" t="s">
        <v>195</v>
      </c>
      <c r="U11" s="35" t="s">
        <v>305</v>
      </c>
      <c r="V11" s="35"/>
      <c r="W11" s="35" t="s">
        <v>169</v>
      </c>
      <c r="X11" s="35" t="s">
        <v>340</v>
      </c>
      <c r="Y11" s="30" t="s">
        <v>282</v>
      </c>
    </row>
    <row r="12" spans="1:25" s="30" customFormat="1" ht="27" customHeight="1" thickBot="1">
      <c r="A12" s="68"/>
      <c r="B12" s="39" t="s">
        <v>293</v>
      </c>
      <c r="C12" s="39" t="s">
        <v>171</v>
      </c>
      <c r="D12" s="39" t="s">
        <v>317</v>
      </c>
      <c r="E12" s="39" t="s">
        <v>206</v>
      </c>
      <c r="F12" s="39" t="s">
        <v>399</v>
      </c>
      <c r="G12" s="39" t="s">
        <v>190</v>
      </c>
      <c r="H12" s="39" t="s">
        <v>230</v>
      </c>
      <c r="I12" s="39"/>
      <c r="J12" s="39" t="s">
        <v>200</v>
      </c>
      <c r="K12" s="39"/>
      <c r="L12" s="39" t="s">
        <v>204</v>
      </c>
      <c r="M12" s="39" t="s">
        <v>214</v>
      </c>
      <c r="N12" s="39" t="s">
        <v>353</v>
      </c>
      <c r="O12" s="39" t="s">
        <v>359</v>
      </c>
      <c r="P12" s="39" t="s">
        <v>361</v>
      </c>
      <c r="Q12" s="39"/>
      <c r="R12" s="39"/>
      <c r="S12" s="39"/>
      <c r="T12" s="39"/>
      <c r="U12" s="39"/>
      <c r="V12" s="39"/>
      <c r="W12" s="39"/>
      <c r="X12" s="39"/>
      <c r="Y12" s="30" t="s">
        <v>282</v>
      </c>
    </row>
    <row r="13" spans="1:25" s="30" customFormat="1" ht="27" customHeight="1" thickTop="1">
      <c r="A13" s="67" t="s">
        <v>157</v>
      </c>
      <c r="B13" s="40" t="s">
        <v>311</v>
      </c>
      <c r="C13" s="40" t="s">
        <v>170</v>
      </c>
      <c r="D13" s="40" t="s">
        <v>320</v>
      </c>
      <c r="E13" s="40" t="s">
        <v>278</v>
      </c>
      <c r="F13" s="40" t="s">
        <v>288</v>
      </c>
      <c r="G13" s="40" t="s">
        <v>287</v>
      </c>
      <c r="H13" s="40" t="s">
        <v>286</v>
      </c>
      <c r="I13" s="40"/>
      <c r="J13" s="40" t="s">
        <v>277</v>
      </c>
      <c r="K13" s="40"/>
      <c r="L13" s="40" t="s">
        <v>276</v>
      </c>
      <c r="M13" s="40" t="s">
        <v>275</v>
      </c>
      <c r="N13" s="40" t="s">
        <v>364</v>
      </c>
      <c r="O13" s="40" t="s">
        <v>372</v>
      </c>
      <c r="P13" s="40" t="s">
        <v>363</v>
      </c>
      <c r="Q13" s="40"/>
      <c r="R13" s="40"/>
      <c r="S13" s="40"/>
      <c r="T13" s="40"/>
      <c r="U13" s="40"/>
      <c r="V13" s="40"/>
      <c r="W13" s="40"/>
      <c r="X13" s="40"/>
      <c r="Y13" s="30" t="s">
        <v>282</v>
      </c>
    </row>
    <row r="14" spans="1:25" s="30" customFormat="1" ht="27" customHeight="1">
      <c r="A14" s="67"/>
      <c r="B14" s="34" t="s">
        <v>310</v>
      </c>
      <c r="C14" s="34" t="s">
        <v>170</v>
      </c>
      <c r="D14" s="34" t="s">
        <v>319</v>
      </c>
      <c r="E14" s="34" t="s">
        <v>207</v>
      </c>
      <c r="F14" s="34" t="s">
        <v>177</v>
      </c>
      <c r="G14" s="34" t="s">
        <v>176</v>
      </c>
      <c r="H14" s="34" t="s">
        <v>226</v>
      </c>
      <c r="I14" s="34"/>
      <c r="J14" s="34" t="s">
        <v>208</v>
      </c>
      <c r="K14" s="34"/>
      <c r="L14" s="34" t="s">
        <v>232</v>
      </c>
      <c r="M14" s="34" t="s">
        <v>183</v>
      </c>
      <c r="N14" s="34" t="s">
        <v>373</v>
      </c>
      <c r="O14" s="34" t="s">
        <v>372</v>
      </c>
      <c r="P14" s="34" t="s">
        <v>363</v>
      </c>
      <c r="Q14" s="34"/>
      <c r="R14" s="34"/>
      <c r="S14" s="34"/>
      <c r="T14" s="34"/>
      <c r="U14" s="34"/>
      <c r="V14" s="34"/>
      <c r="W14" s="34"/>
      <c r="X14" s="34"/>
      <c r="Y14" s="30" t="s">
        <v>282</v>
      </c>
    </row>
    <row r="15" spans="1:25" s="30" customFormat="1" ht="27" customHeight="1">
      <c r="A15" s="67"/>
      <c r="B15" s="35" t="s">
        <v>294</v>
      </c>
      <c r="C15" s="35" t="s">
        <v>170</v>
      </c>
      <c r="D15" s="35" t="s">
        <v>318</v>
      </c>
      <c r="E15" s="35" t="s">
        <v>281</v>
      </c>
      <c r="F15" s="35" t="s">
        <v>280</v>
      </c>
      <c r="G15" s="35" t="s">
        <v>178</v>
      </c>
      <c r="H15" s="35" t="s">
        <v>225</v>
      </c>
      <c r="I15" s="35"/>
      <c r="J15" s="35" t="s">
        <v>209</v>
      </c>
      <c r="K15" s="35" t="s">
        <v>209</v>
      </c>
      <c r="L15" s="35" t="s">
        <v>273</v>
      </c>
      <c r="M15" s="35" t="s">
        <v>184</v>
      </c>
      <c r="N15" s="35" t="s">
        <v>374</v>
      </c>
      <c r="O15" s="35" t="s">
        <v>372</v>
      </c>
      <c r="P15" s="35" t="s">
        <v>363</v>
      </c>
      <c r="Q15" s="35"/>
      <c r="R15" s="35"/>
      <c r="S15" s="35"/>
      <c r="T15" s="35"/>
      <c r="U15" s="35"/>
      <c r="V15" s="35"/>
      <c r="W15" s="35"/>
      <c r="X15" s="35"/>
      <c r="Y15" s="30" t="s">
        <v>282</v>
      </c>
    </row>
    <row r="16" spans="1:25" s="30" customFormat="1" ht="27" customHeight="1">
      <c r="A16" s="67"/>
      <c r="B16" s="34" t="s">
        <v>295</v>
      </c>
      <c r="C16" s="34" t="s">
        <v>171</v>
      </c>
      <c r="D16" s="34" t="s">
        <v>180</v>
      </c>
      <c r="E16" s="34" t="s">
        <v>211</v>
      </c>
      <c r="F16" s="34" t="s">
        <v>181</v>
      </c>
      <c r="G16" s="34" t="s">
        <v>223</v>
      </c>
      <c r="H16" s="34" t="s">
        <v>227</v>
      </c>
      <c r="I16" s="34"/>
      <c r="J16" s="34" t="s">
        <v>201</v>
      </c>
      <c r="K16" s="34"/>
      <c r="L16" s="34" t="s">
        <v>210</v>
      </c>
      <c r="M16" s="34" t="s">
        <v>182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0" t="s">
        <v>282</v>
      </c>
    </row>
    <row r="17" spans="1:25" s="30" customFormat="1" ht="27" customHeight="1">
      <c r="A17" s="67"/>
      <c r="B17" s="35" t="s">
        <v>296</v>
      </c>
      <c r="C17" s="35" t="s">
        <v>171</v>
      </c>
      <c r="D17" s="35" t="s">
        <v>298</v>
      </c>
      <c r="E17" s="35" t="s">
        <v>213</v>
      </c>
      <c r="F17" s="35" t="s">
        <v>222</v>
      </c>
      <c r="G17" s="35" t="s">
        <v>197</v>
      </c>
      <c r="H17" s="35" t="s">
        <v>228</v>
      </c>
      <c r="I17" s="37" t="s">
        <v>334</v>
      </c>
      <c r="J17" s="35"/>
      <c r="K17" s="35" t="s">
        <v>203</v>
      </c>
      <c r="L17" s="35" t="s">
        <v>302</v>
      </c>
      <c r="M17" s="35" t="s">
        <v>229</v>
      </c>
      <c r="N17" s="35"/>
      <c r="O17" s="35"/>
      <c r="P17" s="35"/>
      <c r="Q17" s="35" t="s">
        <v>341</v>
      </c>
      <c r="R17" s="35" t="s">
        <v>284</v>
      </c>
      <c r="S17" s="35" t="s">
        <v>215</v>
      </c>
      <c r="T17" s="35" t="s">
        <v>241</v>
      </c>
      <c r="U17" s="35" t="s">
        <v>212</v>
      </c>
      <c r="V17" s="35"/>
      <c r="W17" s="35" t="s">
        <v>169</v>
      </c>
      <c r="X17" s="35" t="s">
        <v>233</v>
      </c>
      <c r="Y17" s="30" t="s">
        <v>282</v>
      </c>
    </row>
    <row r="18" spans="1:25" s="30" customFormat="1" ht="27" customHeight="1">
      <c r="A18" s="67"/>
      <c r="B18" s="34" t="s">
        <v>291</v>
      </c>
      <c r="C18" s="34" t="s">
        <v>171</v>
      </c>
      <c r="D18" s="34" t="s">
        <v>299</v>
      </c>
      <c r="E18" s="34" t="s">
        <v>398</v>
      </c>
      <c r="F18" s="34" t="s">
        <v>238</v>
      </c>
      <c r="G18" s="34" t="s">
        <v>218</v>
      </c>
      <c r="H18" s="34" t="s">
        <v>237</v>
      </c>
      <c r="I18" s="34" t="s">
        <v>335</v>
      </c>
      <c r="J18" s="34"/>
      <c r="K18" s="34" t="s">
        <v>221</v>
      </c>
      <c r="L18" s="34" t="s">
        <v>242</v>
      </c>
      <c r="M18" s="34" t="s">
        <v>217</v>
      </c>
      <c r="N18" s="34" t="s">
        <v>350</v>
      </c>
      <c r="O18" s="34" t="s">
        <v>349</v>
      </c>
      <c r="P18" s="34" t="s">
        <v>282</v>
      </c>
      <c r="Q18" s="34" t="s">
        <v>342</v>
      </c>
      <c r="R18" s="34" t="s">
        <v>371</v>
      </c>
      <c r="S18" s="34" t="s">
        <v>220</v>
      </c>
      <c r="T18" s="34" t="s">
        <v>241</v>
      </c>
      <c r="U18" s="34" t="s">
        <v>212</v>
      </c>
      <c r="V18" s="34"/>
      <c r="W18" s="34" t="s">
        <v>169</v>
      </c>
      <c r="X18" s="34" t="s">
        <v>233</v>
      </c>
      <c r="Y18" s="30" t="s">
        <v>282</v>
      </c>
    </row>
    <row r="19" spans="1:25" s="30" customFormat="1" ht="27" customHeight="1">
      <c r="A19" s="67"/>
      <c r="B19" s="35" t="s">
        <v>292</v>
      </c>
      <c r="C19" s="35" t="s">
        <v>171</v>
      </c>
      <c r="D19" s="35" t="s">
        <v>249</v>
      </c>
      <c r="E19" s="35" t="s">
        <v>234</v>
      </c>
      <c r="F19" s="35" t="s">
        <v>239</v>
      </c>
      <c r="G19" s="35" t="s">
        <v>236</v>
      </c>
      <c r="H19" s="35" t="s">
        <v>332</v>
      </c>
      <c r="I19" s="35" t="s">
        <v>336</v>
      </c>
      <c r="J19" s="35"/>
      <c r="K19" s="35" t="s">
        <v>290</v>
      </c>
      <c r="L19" s="35" t="s">
        <v>258</v>
      </c>
      <c r="M19" s="35" t="s">
        <v>304</v>
      </c>
      <c r="N19" s="35"/>
      <c r="O19" s="35"/>
      <c r="P19" s="35"/>
      <c r="Q19" s="35" t="s">
        <v>358</v>
      </c>
      <c r="R19" s="35" t="s">
        <v>284</v>
      </c>
      <c r="S19" s="35" t="s">
        <v>284</v>
      </c>
      <c r="T19" s="35" t="s">
        <v>195</v>
      </c>
      <c r="U19" s="35" t="s">
        <v>305</v>
      </c>
      <c r="V19" s="35"/>
      <c r="W19" s="35" t="s">
        <v>169</v>
      </c>
      <c r="X19" s="35" t="s">
        <v>340</v>
      </c>
      <c r="Y19" s="30" t="s">
        <v>282</v>
      </c>
    </row>
    <row r="20" spans="1:25" s="30" customFormat="1" ht="27" customHeight="1">
      <c r="A20" s="67"/>
      <c r="B20" s="34" t="s">
        <v>293</v>
      </c>
      <c r="C20" s="34" t="s">
        <v>171</v>
      </c>
      <c r="D20" s="34" t="s">
        <v>317</v>
      </c>
      <c r="E20" s="34" t="s">
        <v>206</v>
      </c>
      <c r="F20" s="34" t="s">
        <v>400</v>
      </c>
      <c r="G20" s="34" t="s">
        <v>190</v>
      </c>
      <c r="H20" s="34" t="s">
        <v>231</v>
      </c>
      <c r="I20" s="34"/>
      <c r="J20" s="34" t="s">
        <v>202</v>
      </c>
      <c r="K20" s="34"/>
      <c r="L20" s="34" t="s">
        <v>205</v>
      </c>
      <c r="M20" s="34" t="s">
        <v>192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0" t="s">
        <v>282</v>
      </c>
    </row>
  </sheetData>
  <mergeCells count="8">
    <mergeCell ref="R1:X1"/>
    <mergeCell ref="A3:A12"/>
    <mergeCell ref="F1:H1"/>
    <mergeCell ref="I1:K1"/>
    <mergeCell ref="A13:A20"/>
    <mergeCell ref="O1:P1"/>
    <mergeCell ref="L1:M1"/>
    <mergeCell ref="C1:E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光学区 参量换算器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谢尘竹</dc:creator>
  <cp:lastModifiedBy>尘竹 谢</cp:lastModifiedBy>
  <dcterms:created xsi:type="dcterms:W3CDTF">2015-06-05T18:19:34Z</dcterms:created>
  <dcterms:modified xsi:type="dcterms:W3CDTF">2024-03-30T07:59:14Z</dcterms:modified>
</cp:coreProperties>
</file>